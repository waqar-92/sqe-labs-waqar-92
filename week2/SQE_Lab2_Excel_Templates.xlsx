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cuments\6th Semester Labs\Software Quality Engeering\"/>
    </mc:Choice>
  </mc:AlternateContent>
  <xr:revisionPtr revIDLastSave="0" documentId="13_ncr:1_{637B10CE-D78E-47CF-9753-DA1EE22014A7}" xr6:coauthVersionLast="47" xr6:coauthVersionMax="47" xr10:uidLastSave="{00000000-0000-0000-0000-000000000000}"/>
  <bookViews>
    <workbookView xWindow="-120" yWindow="-120" windowWidth="24240" windowHeight="13140" firstSheet="2" activeTab="4" xr2:uid="{00000000-000D-0000-FFFF-FFFF00000000}"/>
  </bookViews>
  <sheets>
    <sheet name="📋 Session Setup" sheetId="1" r:id="rId1"/>
    <sheet name="🔍 Exp A — Walkthrough" sheetId="2" r:id="rId2"/>
    <sheet name="📱 Exp B — App 1 (Ch 1–4)" sheetId="3" r:id="rId3"/>
    <sheet name="📱 Exp C — App 1 (All 8)" sheetId="4" r:id="rId4"/>
    <sheet name="📱 Exp C — App 2 (All 8)" sheetId="5" r:id="rId5"/>
    <sheet name="📊 Exp D — Comparative" sheetId="6" r:id="rId6"/>
    <sheet name="💡 Recommendations" sheetId="7" r:id="rId7"/>
    <sheet name="📄 Report Outline" sheetId="8" r:id="rId8"/>
    <sheet name="🏆 Grading Rubric" sheetId="9" r:id="rId9"/>
    <sheet name="📖 ISO 25010 Reference" sheetId="10" r:id="rId10"/>
  </sheets>
  <calcPr calcId="191029" iterateDelta="1E-4"/>
</workbook>
</file>

<file path=xl/calcChain.xml><?xml version="1.0" encoding="utf-8"?>
<calcChain xmlns="http://schemas.openxmlformats.org/spreadsheetml/2006/main">
  <c r="E13" i="9" l="1"/>
  <c r="E31" i="6"/>
  <c r="G31" i="6" s="1"/>
  <c r="D31" i="6"/>
  <c r="F31" i="6" s="1"/>
  <c r="E30" i="6"/>
  <c r="G30" i="6" s="1"/>
  <c r="D30" i="6"/>
  <c r="F30" i="6" s="1"/>
  <c r="E29" i="6"/>
  <c r="G29" i="6" s="1"/>
  <c r="D29" i="6"/>
  <c r="F29" i="6" s="1"/>
  <c r="G28" i="6"/>
  <c r="F28" i="6"/>
  <c r="E28" i="6"/>
  <c r="D28" i="6"/>
  <c r="G27" i="6"/>
  <c r="F27" i="6"/>
  <c r="E27" i="6"/>
  <c r="D27" i="6"/>
  <c r="F26" i="6"/>
  <c r="E26" i="6"/>
  <c r="G26" i="6" s="1"/>
  <c r="D26" i="6"/>
  <c r="G25" i="6"/>
  <c r="F25" i="6"/>
  <c r="E25" i="6"/>
  <c r="D25" i="6"/>
  <c r="G24" i="6"/>
  <c r="F24" i="6"/>
  <c r="E24" i="6"/>
  <c r="D24" i="6"/>
  <c r="F19" i="6"/>
  <c r="E19" i="6"/>
  <c r="D19" i="6"/>
  <c r="G19" i="6" s="1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F20" i="5"/>
  <c r="F19" i="5"/>
  <c r="F18" i="5"/>
  <c r="F17" i="5"/>
  <c r="F16" i="5"/>
  <c r="F21" i="5" s="1"/>
  <c r="F15" i="5"/>
  <c r="F14" i="5"/>
  <c r="F13" i="5"/>
  <c r="F20" i="4"/>
  <c r="F19" i="4"/>
  <c r="F18" i="4"/>
  <c r="F17" i="4"/>
  <c r="F16" i="4"/>
  <c r="F15" i="4"/>
  <c r="F14" i="4"/>
  <c r="F13" i="4"/>
  <c r="F21" i="4" s="1"/>
  <c r="F23" i="2"/>
  <c r="F22" i="2"/>
  <c r="F21" i="2"/>
  <c r="F20" i="2"/>
  <c r="F19" i="2"/>
  <c r="F18" i="2"/>
  <c r="F17" i="2"/>
  <c r="F16" i="2"/>
  <c r="F24" i="2" s="1"/>
</calcChain>
</file>

<file path=xl/sharedStrings.xml><?xml version="1.0" encoding="utf-8"?>
<sst xmlns="http://schemas.openxmlformats.org/spreadsheetml/2006/main" count="805" uniqueCount="568">
  <si>
    <t>SQE Lab Session 2 — ISO 25010 Quality Attribute Analysis</t>
  </si>
  <si>
    <t>Software Quality Engineering  |  Lab Manual  |  Engr. Asim Javaid</t>
  </si>
  <si>
    <t xml:space="preserve">  STUDENT INFORMATION</t>
  </si>
  <si>
    <t>Evaluator Full Name</t>
  </si>
  <si>
    <t>Student ID</t>
  </si>
  <si>
    <t>Section / Group</t>
  </si>
  <si>
    <t>Date of Evaluation</t>
  </si>
  <si>
    <t>Device Model</t>
  </si>
  <si>
    <t>OS Version</t>
  </si>
  <si>
    <t>Network Conditions</t>
  </si>
  <si>
    <t>e.g. Campus WiFi / 4G</t>
  </si>
  <si>
    <t xml:space="preserve">  APPLICATION PAIR SELECTION</t>
  </si>
  <si>
    <t>Choose ONE pair below. Circle / highlight your selection.</t>
  </si>
  <si>
    <t>Pair</t>
  </si>
  <si>
    <t>App 1</t>
  </si>
  <si>
    <t>App 2</t>
  </si>
  <si>
    <t>Primary Focus</t>
  </si>
  <si>
    <t>A</t>
  </si>
  <si>
    <t>WhatsApp</t>
  </si>
  <si>
    <t>Telegram</t>
  </si>
  <si>
    <t>Security, Usability, Reliability — closed vs open E2E encryption</t>
  </si>
  <si>
    <t>B</t>
  </si>
  <si>
    <t>Google Maps</t>
  </si>
  <si>
    <t>Apple Maps</t>
  </si>
  <si>
    <t>Performance, Compatibility, Usability — navigation design philosophies</t>
  </si>
  <si>
    <t>C</t>
  </si>
  <si>
    <t>Gmail</t>
  </si>
  <si>
    <t>Outlook Mobile</t>
  </si>
  <si>
    <t>Functional Suitability, Usability, Portability — email client comparison</t>
  </si>
  <si>
    <t>D</t>
  </si>
  <si>
    <t>Chrome Mobile</t>
  </si>
  <si>
    <t>Safari</t>
  </si>
  <si>
    <t>Performance, Compatibility, Security — native vs cross-platform</t>
  </si>
  <si>
    <t>E</t>
  </si>
  <si>
    <t>Spotify</t>
  </si>
  <si>
    <t>YouTube Music</t>
  </si>
  <si>
    <t>Performance, Reliability, Usability — streaming service quality</t>
  </si>
  <si>
    <t>F</t>
  </si>
  <si>
    <t>University App 1</t>
  </si>
  <si>
    <t>University App 2</t>
  </si>
  <si>
    <t>Full ISO 25010 analysis — choose any two university-context apps</t>
  </si>
  <si>
    <t xml:space="preserve">  SELECTED PAIR — Fill in below</t>
  </si>
  <si>
    <t>Pair Letter</t>
  </si>
  <si>
    <t>App 1 Name</t>
  </si>
  <si>
    <t>App 2 Name</t>
  </si>
  <si>
    <t xml:space="preserve">  APP VERSION METADATA</t>
  </si>
  <si>
    <t>Field</t>
  </si>
  <si>
    <t>App Name</t>
  </si>
  <si>
    <t>Version Number</t>
  </si>
  <si>
    <t>Platform</t>
  </si>
  <si>
    <t>Min OS Required</t>
  </si>
  <si>
    <t>App Store Rating</t>
  </si>
  <si>
    <t>Last Updated</t>
  </si>
  <si>
    <t xml:space="preserve">  PRE-LAB CHECKLIST</t>
  </si>
  <si>
    <t>#</t>
  </si>
  <si>
    <t>Task</t>
  </si>
  <si>
    <t>When</t>
  </si>
  <si>
    <t>Status (✓ / ✗)</t>
  </si>
  <si>
    <t>1</t>
  </si>
  <si>
    <t>Read ISO/IEC 25010 Sections 1–4 overview</t>
  </si>
  <si>
    <t>Before Lab</t>
  </si>
  <si>
    <t>2</t>
  </si>
  <si>
    <t>Identify 3 daily apps &amp; note one quality concern each</t>
  </si>
  <si>
    <t>3</t>
  </si>
  <si>
    <t>Ensure both apps in chosen pair are installed on device</t>
  </si>
  <si>
    <t>4</t>
  </si>
  <si>
    <t>Bring device with stopwatch / timer capability</t>
  </si>
  <si>
    <t>Lab Start</t>
  </si>
  <si>
    <t>5</t>
  </si>
  <si>
    <t>Have GitHub repository from Lab 1 open (week2/ folder)</t>
  </si>
  <si>
    <t>6</t>
  </si>
  <si>
    <t>Install matplotlib: pip install matplotlib numpy</t>
  </si>
  <si>
    <t xml:space="preserve">  RATING SCALE QUICK REFERENCE</t>
  </si>
  <si>
    <t>Rating</t>
  </si>
  <si>
    <t>Label</t>
  </si>
  <si>
    <t>Definition</t>
  </si>
  <si>
    <t>Example Evidence</t>
  </si>
  <si>
    <t>Excellent</t>
  </si>
  <si>
    <t>Exceeds expectations. Fully &amp; consistently satisfied.</t>
  </si>
  <si>
    <t>App launches &lt;1s; 2FA enabled; zero crashes in 10-min session</t>
  </si>
  <si>
    <t>Good</t>
  </si>
  <si>
    <t>Mostly satisfied. Minor issues, rarely noticeable.</t>
  </si>
  <si>
    <t>Occasional 2s load; settings menu slightly hard to find</t>
  </si>
  <si>
    <t>Acceptable</t>
  </si>
  <si>
    <t>Partially satisfied. Noticeable but system remains usable.</t>
  </si>
  <si>
    <t>Crashes once per 10 min; offline shows stale data</t>
  </si>
  <si>
    <t>Poor</t>
  </si>
  <si>
    <t>Mostly unsatisfied. Significant issues degrade quality.</t>
  </si>
  <si>
    <t>Crashes twice in 5 min; loading takes 8+ seconds</t>
  </si>
  <si>
    <t>Unacceptable</t>
  </si>
  <si>
    <t>Critical failures. Characteristic essentially absent.</t>
  </si>
  <si>
    <t>Data wiped on restart; cannot perform primary purpose</t>
  </si>
  <si>
    <t>EXPERIMENT A — Instructor Walkthrough (WhatsApp Worked Example)</t>
  </si>
  <si>
    <t>35 min  |  Students OBSERVE and take notes — do NOT evaluate your own pair yet</t>
  </si>
  <si>
    <t xml:space="preserve">  A.1 APPLICATION CONTEXT</t>
  </si>
  <si>
    <t>WhatsApp Messenger</t>
  </si>
  <si>
    <t>Developer</t>
  </si>
  <si>
    <t>Meta Platforms, Inc.</t>
  </si>
  <si>
    <t>Version Evaluated</t>
  </si>
  <si>
    <t>2.24.x</t>
  </si>
  <si>
    <t>Device</t>
  </si>
  <si>
    <t>Samsung Galaxy S23</t>
  </si>
  <si>
    <t>OS</t>
  </si>
  <si>
    <t>Android 13</t>
  </si>
  <si>
    <t>Evaluation Date</t>
  </si>
  <si>
    <t>Lab Session 2</t>
  </si>
  <si>
    <t>Primary Purpose</t>
  </si>
  <si>
    <t>Instant messaging, voice/video calls, file sharing</t>
  </si>
  <si>
    <t>Primary Users</t>
  </si>
  <si>
    <t>General consumers — friends, family, professional contacts</t>
  </si>
  <si>
    <t xml:space="preserve">  A.3 COMPLETED EVALUATION CHECKLIST — WhatsApp</t>
  </si>
  <si>
    <t>Quality Characteristic</t>
  </si>
  <si>
    <t>Weight</t>
  </si>
  <si>
    <t>Evidence &amp; Observations</t>
  </si>
  <si>
    <t>Weighted
Contribution</t>
  </si>
  <si>
    <t>1. Functional Suitability</t>
  </si>
  <si>
    <t>15%</t>
  </si>
  <si>
    <t>Core messaging, media sharing, voice notes, calls work correctly. Video calls dropped once on campus WiFi. Group creation accessible. Missing: message scheduling (Telegram has this). Rated 4 — call drops &amp; missing scheduling.</t>
  </si>
  <si>
    <t>2. Performance Efficiency</t>
  </si>
  <si>
    <t>12%</t>
  </si>
  <si>
    <t>App launch: 0.9s (avg of 3 cold starts). Message send: &lt;0.3s on 4G. Image loading: &lt;1s. Battery: 2% per 10 min active. No lag or frame drops. All measured operations consistently fast → Rating 5.</t>
  </si>
  <si>
    <t>3. Compatibility</t>
  </si>
  <si>
    <t>10%</t>
  </si>
  <si>
    <t>Platforms: Android (API 19+), iOS 12+, Windows, macOS, WhatsApp Web. Real-time sync across all. File sharing works cross-platform. Sticker packs render on Android + Web. Play Store: 'compatible with this device' → Rating 5.</t>
  </si>
  <si>
    <t>4. Usability</t>
  </si>
  <si>
    <t>Core tasks (send msg, call, create group) completable in &lt;45s without guidance. Privacy settings need 3 navigation levels — not obvious. UI clean, familiar icons. Status feature unclear to new users. Clear error msgs. → Rating 4.</t>
  </si>
  <si>
    <t>5. Reliability</t>
  </si>
  <si>
    <t>Zero crashes in 10-min session. Airplane Mode: shows 'connecting...' clearly, queued msgs delivered on reconnect. Force-close: draft NOT saved (minor data loss). Last-read status preserved. No outage in 3 months → Rating 4.</t>
  </si>
  <si>
    <t>6. Security</t>
  </si>
  <si>
    <t>E2E encryption by default (verified in chat info). 2FA: Settings &gt; Account &gt; Two-step verification. Permissions: Camera, Mic, Contacts, Storage — all justified. Privacy policy clear. Lockout after 3 incorrect PINs. Fingerprint lock → Rating 5.</t>
  </si>
  <si>
    <t>7. Maintainability</t>
  </si>
  <si>
    <t>8%</t>
  </si>
  <si>
    <t>Play Store: update every 1–2 weeks. Release notes list specific changes (e.g. 'Fixed video calls on Android 14'). One known bug (desktop notification lag) persists 4 months. Active community forums → Rating 4.</t>
  </si>
  <si>
    <t>8. Portability</t>
  </si>
  <si>
    <t>Platforms: Android, iOS, Windows, macOS, Web. All platforms sync messages in real-time. Desktop mirrors phone contacts. Web works without app. Dark mode syncs with OS preference → Rating 5.</t>
  </si>
  <si>
    <t>WHATSAPP WEIGHTED TOTAL SCORE</t>
  </si>
  <si>
    <t xml:space="preserve">  A.5 KEY INSIGHTS — Student Notes</t>
  </si>
  <si>
    <t>Observation</t>
  </si>
  <si>
    <t>Security rated 5 despite being a free app</t>
  </si>
  <si>
    <t>High security &amp; zero cost are not mutually exclusive. E2E is standard for messaging.</t>
  </si>
  <si>
    <t>Usability rated 4 despite clean UI</t>
  </si>
  <si>
    <t>Aesthetics alone ≠ usability. Navigation depth, discoverability &amp; task efficiency all count.</t>
  </si>
  <si>
    <t>Reliability rated 4 despite zero crashes</t>
  </si>
  <si>
    <t>Reliability includes data integrity (draft loss). Zero crashes are necessary but not sufficient.</t>
  </si>
  <si>
    <t>Maintainability hardest to rate externally</t>
  </si>
  <si>
    <t>Use update history &amp; changelog quality as primary proxies — known limitation.</t>
  </si>
  <si>
    <t xml:space="preserve">  MY NOTES FROM THE WALKTHROUGH</t>
  </si>
  <si>
    <t>Use this space to record your observations during the instructor demonstration...</t>
  </si>
  <si>
    <t>EXPERIMENT B — App 1 Evaluation (Characteristics 1–4)</t>
  </si>
  <si>
    <t>50 min  |  Individual — use your own device  |  Min. 3 observations per characteristic</t>
  </si>
  <si>
    <t xml:space="preserve">  APP 1 METADATA</t>
  </si>
  <si>
    <t>Start Time</t>
  </si>
  <si>
    <t xml:space="preserve">  B.2 CHARACTERISTIC 1 — Functional Suitability (Weight: 15%)</t>
  </si>
  <si>
    <t>Feature / Use Case to Test</t>
  </si>
  <si>
    <t>How to Test</t>
  </si>
  <si>
    <t>Pass / Fail / Partial</t>
  </si>
  <si>
    <t>Notes</t>
  </si>
  <si>
    <t>Evidence Screenshot</t>
  </si>
  <si>
    <t>Primary core function</t>
  </si>
  <si>
    <t>Secondary feature 1</t>
  </si>
  <si>
    <t>Secondary feature 2</t>
  </si>
  <si>
    <t>Error handling</t>
  </si>
  <si>
    <t>Enter invalid input (empty fields, wrong format). What happens?</t>
  </si>
  <si>
    <t>Edge case</t>
  </si>
  <si>
    <t>Test with extreme inputs (very long text, large file, no internet)</t>
  </si>
  <si>
    <t>CHARACTERISTIC 1 RATING (1–5):</t>
  </si>
  <si>
    <t>Justification:</t>
  </si>
  <si>
    <t xml:space="preserve">  B.3 CHARACTERISTIC 2 — Performance Efficiency (Weight: 12%)</t>
  </si>
  <si>
    <t>Measurement</t>
  </si>
  <si>
    <t>Test Method</t>
  </si>
  <si>
    <t>Your Result</t>
  </si>
  <si>
    <t>Target (Rating 4+)</t>
  </si>
  <si>
    <t>Cold start time</t>
  </si>
  <si>
    <t>Stopwatch: tap app icon → fully usable screen</t>
  </si>
  <si>
    <t>&lt; 3 seconds</t>
  </si>
  <si>
    <t>Key operation 1 (primary)</t>
  </si>
  <si>
    <t>Time the main action (search/send/load feed)</t>
  </si>
  <si>
    <t>&lt; 1 second</t>
  </si>
  <si>
    <t>Key operation 2 (secondary)</t>
  </si>
  <si>
    <t>Time a secondary action (navigate/load image)</t>
  </si>
  <si>
    <t>&lt; 2 seconds</t>
  </si>
  <si>
    <t>Battery drain</t>
  </si>
  <si>
    <t>Device Settings &gt; Battery: % used in 10 min active use</t>
  </si>
  <si>
    <t>&lt; 3%</t>
  </si>
  <si>
    <t>Slow network</t>
  </si>
  <si>
    <t>Switch to 4G only / poor signal — time key operation</t>
  </si>
  <si>
    <t>&lt; 5 seconds</t>
  </si>
  <si>
    <t>Data usage</t>
  </si>
  <si>
    <t>Device Settings &gt; Data: MB used in 10 min active use</t>
  </si>
  <si>
    <t>&lt; 10 MB</t>
  </si>
  <si>
    <t>CHARACTERISTIC 2 RATING (1–5):</t>
  </si>
  <si>
    <t xml:space="preserve">  B.4 CHARACTERISTIC 3 — Compatibility (Weight: 10%)</t>
  </si>
  <si>
    <t>Compatibility Check</t>
  </si>
  <si>
    <t>What to Look For</t>
  </si>
  <si>
    <t>Result</t>
  </si>
  <si>
    <t>Evidence / Screenshot</t>
  </si>
  <si>
    <t>Min OS version</t>
  </si>
  <si>
    <t>Check Play Store / App Store listing for minimum supported OS</t>
  </si>
  <si>
    <t>Platform availability</t>
  </si>
  <si>
    <t>List all platforms: Android, iOS, Windows, macOS, Web, Linux</t>
  </si>
  <si>
    <t>Cross-device sync</t>
  </si>
  <si>
    <t>Log in on a 2nd device — do data &amp; settings appear?</t>
  </si>
  <si>
    <t>Content sharing (in)</t>
  </si>
  <si>
    <t>Can you share content FROM other apps INTO this app?</t>
  </si>
  <si>
    <t>Content sharing (out)</t>
  </si>
  <si>
    <t>Can you share content FROM this app to 3+ other apps?</t>
  </si>
  <si>
    <t>Dark mode support</t>
  </si>
  <si>
    <t>Does the app respect your OS dark mode / accessibility settings?</t>
  </si>
  <si>
    <t>OS version compat.</t>
  </si>
  <si>
    <t>Any features broken on your specific OS version?</t>
  </si>
  <si>
    <t>CHARACTERISTIC 3 RATING (1–5):</t>
  </si>
  <si>
    <t xml:space="preserve">  B.5 CHARACTERISTIC 4 — Usability (Weight: 15%)</t>
  </si>
  <si>
    <t>Task Description</t>
  </si>
  <si>
    <t>Time (sec)</t>
  </si>
  <si>
    <t>Errors Made</t>
  </si>
  <si>
    <t>Completed?</t>
  </si>
  <si>
    <t>Task 1</t>
  </si>
  <si>
    <t>Find and change a core setting (notifications / theme / privacy)</t>
  </si>
  <si>
    <t>Task 2</t>
  </si>
  <si>
    <t>Perform the primary function for the FIRST time (new message / playlist / route)</t>
  </si>
  <si>
    <t>Task 3</t>
  </si>
  <si>
    <t>Find the Help or Support section</t>
  </si>
  <si>
    <t>Task 4</t>
  </si>
  <si>
    <t>Share content FROM this app to another app</t>
  </si>
  <si>
    <t>Task 5</t>
  </si>
  <si>
    <t>Delete an item (message, account entry, saved item)</t>
  </si>
  <si>
    <t xml:space="preserve">  ADDITIONAL USABILITY CHECKS</t>
  </si>
  <si>
    <t>UI Check</t>
  </si>
  <si>
    <t>What to Evaluate</t>
  </si>
  <si>
    <t>Rating Impact</t>
  </si>
  <si>
    <t>Score</t>
  </si>
  <si>
    <t>Error messages</t>
  </si>
  <si>
    <t>Are error messages clear and explain how to fix the issue?</t>
  </si>
  <si>
    <t>Visual hierarchy</t>
  </si>
  <si>
    <t>Is the most important info most prominent on key screens?</t>
  </si>
  <si>
    <t>Onboarding</t>
  </si>
  <si>
    <t>Is there any in-app onboarding / tutorial for new users?</t>
  </si>
  <si>
    <t>Accessibility</t>
  </si>
  <si>
    <t>Does the app support large text, high contrast, screen reader?</t>
  </si>
  <si>
    <t>CHARACTERISTIC 4 RATING (1–5):</t>
  </si>
  <si>
    <t>EXPERIMENT C — App 1 — All 8 ISO 25010 Characteristics</t>
  </si>
  <si>
    <t>Complete all 8 characteristics with rating AND evidence before moving to Exp D</t>
  </si>
  <si>
    <t xml:space="preserve">  APP METADATA</t>
  </si>
  <si>
    <t>Version</t>
  </si>
  <si>
    <t>Date</t>
  </si>
  <si>
    <t xml:space="preserve">  FULL EVALUATION CHECKLIST</t>
  </si>
  <si>
    <t>Quality Characteristic (ISO 25010)</t>
  </si>
  <si>
    <t>Rating
(1–5)</t>
  </si>
  <si>
    <t>Observations / Evidence  (min. 2 specific points)</t>
  </si>
  <si>
    <t>Weighted
Score</t>
  </si>
  <si>
    <t>[Hint: Does the app deliver all expected features correctly and completely? Test all advertised functions. Note any missing/broken features.]
Observation 1:
Observation 2:</t>
  </si>
  <si>
    <t>[Hint: Response time, loading speed, battery &amp; data usage. Record actual timings in seconds for at least 3 operations.]
Observation 1:
Observation 2:</t>
  </si>
  <si>
    <t>[Hint: Works correctly on different OS versions, screen sizes, browsers? Check platform availability listing. Test sharing.]
Observation 1:
Observation 2:</t>
  </si>
  <si>
    <t>[Hint: Ease of navigation, clarity of UI, onboarding experience? Complete 5 timed tasks without guidance.]
Observation 1:
Observation 2:</t>
  </si>
  <si>
    <t>[Hint: App crashes, error handling, offline behavior, data integrity? Test Airplane Mode. Force-close mid-task.]
Observation 1:
Observation 2:</t>
  </si>
  <si>
    <t>[Hint: Login security, data privacy, permissions, encryption? Check 2FA, permissions list, privacy policy, lockout behavior.]
Observation 1:
Observation 2:</t>
  </si>
  <si>
    <t>[Hint: Update frequency, bug fix speed, changelog quality? Review app store update history &amp; release notes.]
Observation 1:
Observation 2:</t>
  </si>
  <si>
    <t>[Hint: Available on multiple platforms, cross-device sync? Test install/uninstall. Check dark mode &amp; accessibility sync.]
Observation 1:
Observation 2:</t>
  </si>
  <si>
    <t>WEIGHTED TOTAL SCORE (out of 5.00)</t>
  </si>
  <si>
    <t xml:space="preserve">  SELF-CHECK BEFORE MOVING TO EXPERIMENT D</t>
  </si>
  <si>
    <t>Check</t>
  </si>
  <si>
    <t>Question</t>
  </si>
  <si>
    <t>Evidence</t>
  </si>
  <si>
    <t>Every rating has ≥1 specific observation in Notes?</t>
  </si>
  <si>
    <t>Add at least one concrete observation before proceeding.</t>
  </si>
  <si>
    <t>Scale</t>
  </si>
  <si>
    <t>All ratings are whole numbers between 1 and 5?</t>
  </si>
  <si>
    <t>Revise any fractional or out-of-range ratings.</t>
  </si>
  <si>
    <t>Range</t>
  </si>
  <si>
    <t>Do your ratings span the full range (not all 4s and 5s)?</t>
  </si>
  <si>
    <t>Re-examine 4s and 5s — look harder for deficiencies.</t>
  </si>
  <si>
    <t>Consistency</t>
  </si>
  <si>
    <t>Similar quality levels rated similarly across both apps?</t>
  </si>
  <si>
    <t>If App 1 gets 5 for security, App 2 needs equivalent scrutiny.</t>
  </si>
  <si>
    <t>Independence</t>
  </si>
  <si>
    <t>Each characteristic rated independently (no brand bias)?</t>
  </si>
  <si>
    <t>Revisit any ratings influenced by brand preference.</t>
  </si>
  <si>
    <t>EXPERIMENT C — App 2 — All 8 ISO 25010 Characteristics</t>
  </si>
  <si>
    <t>EXPERIMENT D — Comparative Analysis &amp; Score Summary</t>
  </si>
  <si>
    <t>25 min  |  Complete after both apps are fully evaluated</t>
  </si>
  <si>
    <t xml:space="preserve">  APP IDENTIFICATION</t>
  </si>
  <si>
    <t>Evaluator</t>
  </si>
  <si>
    <t xml:space="preserve">  COMPARATIVE RATING SUMMARY TABLE</t>
  </si>
  <si>
    <t>App 1
Rating</t>
  </si>
  <si>
    <t>App 2
Rating</t>
  </si>
  <si>
    <t>Gap
(|A1–A2|)</t>
  </si>
  <si>
    <t>Better App</t>
  </si>
  <si>
    <t>App 1
Weighted</t>
  </si>
  <si>
    <t>App 2
Weighted</t>
  </si>
  <si>
    <t>Margin</t>
  </si>
  <si>
    <t>WEIGHTED TOTAL SCORE</t>
  </si>
  <si>
    <t xml:space="preserve">  PYTHON RADAR CHART — RATINGS REFERENCE</t>
  </si>
  <si>
    <t>Copy these values into your quality_analysis.py script</t>
  </si>
  <si>
    <t>Characteristic</t>
  </si>
  <si>
    <t>App 1 Rating</t>
  </si>
  <si>
    <t>App 2 Rating</t>
  </si>
  <si>
    <t>App 1 Contrib.</t>
  </si>
  <si>
    <t>App 2 Contrib.</t>
  </si>
  <si>
    <t xml:space="preserve">  PYTHON ARRAY STRING (copy into quality_analysis.py)</t>
  </si>
  <si>
    <t>APP1_RATINGS = [R1, R2, R3, R4, R5, R6, R7, R8]   ← replace with your Column D values above
APP2_RATINGS = [R1, R2, R3, R4, R5, R6, R7, R8]   ← replace with your Column E values above</t>
  </si>
  <si>
    <t xml:space="preserve">  RADAR CHART INTERPRETATION GUIDE</t>
  </si>
  <si>
    <t>Analysis Question</t>
  </si>
  <si>
    <t>How to Answer</t>
  </si>
  <si>
    <t>Where in Report</t>
  </si>
  <si>
    <t>Which app has a larger polygon area?</t>
  </si>
  <si>
    <t>Larger area = higher overall quality score. Name it specifically.</t>
  </si>
  <si>
    <t>Comparative Analysis</t>
  </si>
  <si>
    <t>Where does App 1 extend further than App 2?</t>
  </si>
  <si>
    <t>These spokes = App 1's quality advantages. Name the characteristics.</t>
  </si>
  <si>
    <t>Are there any scores of 2 or below?</t>
  </si>
  <si>
    <t>Scores ≤2 = critical quality gaps requiring immediate attention.</t>
  </si>
  <si>
    <t>Recommendations</t>
  </si>
  <si>
    <t>Both apps score low on the same characteristic?</t>
  </si>
  <si>
    <t>May indicate an industry-wide challenge, not just one app's weakness.</t>
  </si>
  <si>
    <t>Comparative — trade-offs</t>
  </si>
  <si>
    <t>High scores correlating with low scores elsewhere?</t>
  </si>
  <si>
    <t>Look for security vs. usability or performance vs. functionality trade-offs.</t>
  </si>
  <si>
    <t xml:space="preserve">  COMPARATIVE ANALYSIS WRITING SCAFFOLD</t>
  </si>
  <si>
    <t xml:space="preserve">  Para 1 — Overall Scores</t>
  </si>
  <si>
    <t>[Hint: State both weighted scores and identify which app has higher overall quality. Include the margin.
Template: '[App1] achieved a weighted quality score of [X]/5.00, compared to [App2]'s [Y]/5.00 — a margin of [Z] points.']
Your analysis here...</t>
  </si>
  <si>
    <t xml:space="preserve">  Para 2 — Biggest Quality Gaps</t>
  </si>
  <si>
    <t>[Hint: Identify the 3 characteristics with the largest score difference. Explain what the difference means for users in practice — do NOT just state numbers.]
Your analysis here...</t>
  </si>
  <si>
    <t xml:space="preserve">  Para 3 — Trade-offs</t>
  </si>
  <si>
    <t>[Hint: Name at least one trade-off observed.
Template: '[App X]'s higher [Char A] score comes at the cost of [Char B] — because [reason].']
Your analysis here...</t>
  </si>
  <si>
    <t xml:space="preserve">  Para 4 — Recommendation</t>
  </si>
  <si>
    <t>[Hint: State which app you would recommend for a specific use case and justify with quality scores. Be specific about user context.]
Your analysis here...</t>
  </si>
  <si>
    <t>SECTION 7 — Quality Improvement Recommendations</t>
  </si>
  <si>
    <t>4 recommendations required: 2 per app  |  Each must follow the Recommendation Formula</t>
  </si>
  <si>
    <t xml:space="preserve">  RECOMMENDATION FORMULA (must follow this structure)</t>
  </si>
  <si>
    <t>📋  [App Name] should [specific action] in order to improve [characteristic] from its current rating of [X] to a target of [Y]. Currently, [specific observed deficiency]. This change would [specific user benefit].</t>
  </si>
  <si>
    <t xml:space="preserve">  EXAMPLES — Good vs Bad Recommendations</t>
  </si>
  <si>
    <t>Quality</t>
  </si>
  <si>
    <t>Example Recommendation</t>
  </si>
  <si>
    <t>App</t>
  </si>
  <si>
    <t>Char.</t>
  </si>
  <si>
    <t>Why?</t>
  </si>
  <si>
    <t>❌ BAD — Vague</t>
  </si>
  <si>
    <t>WhatsApp should improve security.</t>
  </si>
  <si>
    <t>Security</t>
  </si>
  <si>
    <t>No specific action, no mechanism, no evidence</t>
  </si>
  <si>
    <t>❌ BAD — No evidence</t>
  </si>
  <si>
    <t>Telegram needs better reliability because it sometimes crashes.</t>
  </si>
  <si>
    <t>Reliability</t>
  </si>
  <si>
    <t>No specific observation, no target rating</t>
  </si>
  <si>
    <t>✅ GOOD</t>
  </si>
  <si>
    <t>Telegram should add E2E encryption as default for all chats (not just Secret Chats) to improve Security from 4 to 5. Currently, standard chats are stored server-side. Enabling E2E by default gives users same confidentiality WhatsApp already provides.</t>
  </si>
  <si>
    <t>Specific action + evidence + benefit + target rating</t>
  </si>
  <si>
    <t xml:space="preserve">  YOUR RECOMMENDATIONS — Fill in all shaded cells</t>
  </si>
  <si>
    <t>App 1 — Recommendation 1</t>
  </si>
  <si>
    <t>Your Answer</t>
  </si>
  <si>
    <t>Specific Action</t>
  </si>
  <si>
    <t>Characteristic Improved</t>
  </si>
  <si>
    <t>Current Rating</t>
  </si>
  <si>
    <t>Target Rating</t>
  </si>
  <si>
    <t>Specific Deficiency Observed</t>
  </si>
  <si>
    <t>User Benefit</t>
  </si>
  <si>
    <t>Complete Recommendation (paragraph form)</t>
  </si>
  <si>
    <t>App 1 — Recommendation 2</t>
  </si>
  <si>
    <t>App 2 — Recommendation 1</t>
  </si>
  <si>
    <t>App 2 — Recommendation 2</t>
  </si>
  <si>
    <t>QUALITY ASSESSMENT REPORT — Section-by-Section Outline</t>
  </si>
  <si>
    <t>Use this as your PDF report writing guide  |  Minimum 600 words for Sections 6 &amp; 7 combined</t>
  </si>
  <si>
    <t>Sec</t>
  </si>
  <si>
    <t>Title</t>
  </si>
  <si>
    <t>Required Content</t>
  </si>
  <si>
    <t>Target Length</t>
  </si>
  <si>
    <t>Cover Information</t>
  </si>
  <si>
    <t>App names, version numbers, platform, OS version, evaluator name, student ID, date, pair letter.</t>
  </si>
  <si>
    <t>Half page</t>
  </si>
  <si>
    <t>App Overviews</t>
  </si>
  <si>
    <t>One paragraph per app: primary purpose, target users, main features, app category. Note any relevant similarities or differences.</t>
  </si>
  <si>
    <t>½–1 page</t>
  </si>
  <si>
    <t>Evaluation Methodology</t>
  </si>
  <si>
    <t>Rating scale (1–5 Likert). How each characteristic was tested. Device &amp; OS used. Duration per app. Tools used (timer, settings screenshots, etc.).</t>
  </si>
  <si>
    <t>½ page</t>
  </si>
  <si>
    <t>Completed Checklists</t>
  </si>
  <si>
    <t>Two fully completed checklist tables (one per app) with ratings, weights, and detailed observation notes. ALL 8 characteristics rated.</t>
  </si>
  <si>
    <t>2 pages</t>
  </si>
  <si>
    <t>Quality Profile Chart</t>
  </si>
  <si>
    <t>Your radar chart image generated by Python. Must be clearly labelled with app names and weighted scores in the legend.</t>
  </si>
  <si>
    <t>1 page</t>
  </si>
  <si>
    <t>3–5 paragraphs comparing both apps. Must address: overall score comparison, top 3 quality gaps, at least 1 trade-off, recommendation with justification.</t>
  </si>
  <si>
    <t>1–1.5 pages</t>
  </si>
  <si>
    <t>7</t>
  </si>
  <si>
    <t>Exactly 2 specific, actionable recommendations per app = 4 total. Each must name the specific feature/mechanism &amp; reference the characteristic improved.</t>
  </si>
  <si>
    <t xml:space="preserve">  COMMON MISTAKES TO AVOID</t>
  </si>
  <si>
    <t>Mistake</t>
  </si>
  <si>
    <t>Problem</t>
  </si>
  <si>
    <t>Fix</t>
  </si>
  <si>
    <t>⚠️ Rating Without Evidence</t>
  </si>
  <si>
    <t>'It feels secure' is not evidence.</t>
  </si>
  <si>
    <t>For every rating ask: 'What did I specifically observe?'</t>
  </si>
  <si>
    <t>⚠️ Confusing Characteristics</t>
  </si>
  <si>
    <t>Marking down Reliability when app is slow (that's Performance).</t>
  </si>
  <si>
    <t>Re-read each ISO 25010 definition before rating.</t>
  </si>
  <si>
    <t>⚠️ Inflated Ratings (All 4s &amp; 5s)</t>
  </si>
  <si>
    <t>No real-world app scores perfectly across all 8 characteristics.</t>
  </si>
  <si>
    <t>For every 4 or 5, spend 2 extra minutes looking for deficiencies.</t>
  </si>
  <si>
    <t>⚠️ Ignoring Weights in Analysis</t>
  </si>
  <si>
    <t>Comparing raw counts of 4s/5s instead of weighted scores.</t>
  </si>
  <si>
    <t>Always calculate and compare weighted total scores.</t>
  </si>
  <si>
    <t>⚠️ Inconsistent Testing Conditions</t>
  </si>
  <si>
    <t>App 1 on fast WiFi, App 2 on poor 4G — results meaningless.</t>
  </si>
  <si>
    <t>Both apps: same device, OS, day, network conditions.</t>
  </si>
  <si>
    <t>⚠️ Vague Recommendations</t>
  </si>
  <si>
    <t>'Improve security' gives developers nothing actionable.</t>
  </si>
  <si>
    <t>Every rec. names a specific feature/mechanism + target rating + benefit.</t>
  </si>
  <si>
    <t>⚠️ Brand Bias</t>
  </si>
  <si>
    <t>Rating well-known brand higher due to reputation, not evidence.</t>
  </si>
  <si>
    <t>Cover app name when reviewing ratings — would you change any?</t>
  </si>
  <si>
    <t>GRADED LAB TASK — Evaluation Rubric  |  Total: 15 Marks</t>
  </si>
  <si>
    <t>Individual Assessment  |  CLO-1 (P-2) + CLO-2 (P-3)  |  Submitted via LMS</t>
  </si>
  <si>
    <t xml:space="preserve">  MARKS BREAKDOWN</t>
  </si>
  <si>
    <t>Criterion</t>
  </si>
  <si>
    <t>Marks</t>
  </si>
  <si>
    <t>Excellent (90–100%)</t>
  </si>
  <si>
    <t>Good (75–89%)</t>
  </si>
  <si>
    <t>Satisfactory (60–74%)</t>
  </si>
  <si>
    <t>C1 — Evaluation Completeness</t>
  </si>
  <si>
    <t>20%</t>
  </si>
  <si>
    <t>Both apps, all 8 chars rated (1–5), whole numbers, weighted scores correct.</t>
  </si>
  <si>
    <t>7 of 8 chars rated; minor calc error (&lt;0.1 difference).</t>
  </si>
  <si>
    <t>5–6 chars rated; weighted scores present but with errors.</t>
  </si>
  <si>
    <t>C2 — Evidence Quality</t>
  </si>
  <si>
    <t>Every rating: ≥2 specific observations. Performance: actual timings. Security: specific mechanisms.</t>
  </si>
  <si>
    <t>≥6 ratings per app have specific obs. 1–2 vague. Performance present.</t>
  </si>
  <si>
    <t>Evidence inconsistent. 3–5 adequate. No performance measurements.</t>
  </si>
  <si>
    <t>C3 — Python Script &amp; Radar Chart</t>
  </si>
  <si>
    <t>13%</t>
  </si>
  <si>
    <t>Script runs with student's actual ratings. Chart clearly labelled. PNG in GitHub week2/.</t>
  </si>
  <si>
    <t>Script runs but uses example ratings. Chart present in GitHub.</t>
  </si>
  <si>
    <t>Script needs minor edits. Chart exists. Not in correct week2/ folder.</t>
  </si>
  <si>
    <t>C4 — Comparative Analysis</t>
  </si>
  <si>
    <t>Weighted score comparison; top 3 gaps with practical explanation; ≥1 trade-off; recommendation with use-case.</t>
  </si>
  <si>
    <t>Score comparison + 2 gaps. Trade-offs mentioned. Recommendation present.</t>
  </si>
  <si>
    <t>Score comparison. 1 gap. No trade-offs. Recommendation without justification.</t>
  </si>
  <si>
    <t>C5 — Recommendation Specificity</t>
  </si>
  <si>
    <t>4 recs (2/app). Each: specific mechanism, characteristic, current/target rating, user benefit.</t>
  </si>
  <si>
    <t>3–4 recs. Most specific. 1–2 missing mechanism detail. Target rating not always stated.</t>
  </si>
  <si>
    <t>2–3 recs. Mix of specific and vague. Chars referenced without current/target.</t>
  </si>
  <si>
    <t>C6 — Report Structure</t>
  </si>
  <si>
    <t>7%</t>
  </si>
  <si>
    <t>All 7 sections in correct order. Professional formatting. Radar chart embedded. Cover complete.</t>
  </si>
  <si>
    <t>6 of 7 sections. Minor formatting. Cover mostly complete. Chart present.</t>
  </si>
  <si>
    <t>5 of 7 sections. Sections out of order. Chart may be missing.</t>
  </si>
  <si>
    <t>C7 — GitHub &amp; File Naming</t>
  </si>
  <si>
    <t>Files in week2/. Correct commit message. PDF named correctly. GitHub URL in LMS. On time.</t>
  </si>
  <si>
    <t>Files in correct location. Minor commit msg deviation. On time.</t>
  </si>
  <si>
    <t>Files in GitHub but wrong folder. PDF naming incorrect. On time.</t>
  </si>
  <si>
    <t>TOTAL MARKS</t>
  </si>
  <si>
    <t>/ 15 marks</t>
  </si>
  <si>
    <t xml:space="preserve">  GRADING SCALE</t>
  </si>
  <si>
    <t>Grade</t>
  </si>
  <si>
    <t>Descriptor</t>
  </si>
  <si>
    <t>14–15</t>
  </si>
  <si>
    <t>A (Distinction)</t>
  </si>
  <si>
    <t>Excellent — professional quality evaluation, thorough evidence, insightful analysis, specific recommendations.</t>
  </si>
  <si>
    <t>11–13</t>
  </si>
  <si>
    <t>B (Merit)</t>
  </si>
  <si>
    <t>Good — all components present with adequate quality; minor gaps in evidence depth or analysis.</t>
  </si>
  <si>
    <t>8–10</t>
  </si>
  <si>
    <t>C (Pass)</t>
  </si>
  <si>
    <t>Satisfactory — meets basic requirements; noticeable gaps in evidence or analysis; recommendations may be vague.</t>
  </si>
  <si>
    <t>5–7</t>
  </si>
  <si>
    <t>D (Marginal)</t>
  </si>
  <si>
    <t>Borderline — significant effort but major requirements incomplete; evaluation substantially deficient.</t>
  </si>
  <si>
    <t>0–4</t>
  </si>
  <si>
    <t>F (Fail)</t>
  </si>
  <si>
    <t>Insufficient — critical requirements missing; evaluation not conducted properly or not submitted.</t>
  </si>
  <si>
    <t xml:space="preserve">  INSTRUCTOR MARKING CHECKLIST</t>
  </si>
  <si>
    <t>Yes / No</t>
  </si>
  <si>
    <t>Both apps evaluated with all 8 characteristics rated (1–5, whole numbers)</t>
  </si>
  <si>
    <t>Weighted scores calculated and present for both apps</t>
  </si>
  <si>
    <t>Every rating has at least 1 specific observation (not 'it feels good')</t>
  </si>
  <si>
    <t>Performance ratings include actual measured timings (seconds)</t>
  </si>
  <si>
    <t>Security ratings reference specific mechanisms (2FA, permissions, encryption)</t>
  </si>
  <si>
    <t>quality_analysis.py in week2/ on GitHub with student's actual ratings (not examples)</t>
  </si>
  <si>
    <t>Radar chart PNG in week2/ on GitHub, both apps labelled with scores</t>
  </si>
  <si>
    <t>8</t>
  </si>
  <si>
    <t>Comparative analysis compares weighted scores explicitly with numbers</t>
  </si>
  <si>
    <t>9</t>
  </si>
  <si>
    <t>At least 1 quality trade-off identified and explained in comparative analysis</t>
  </si>
  <si>
    <t>10</t>
  </si>
  <si>
    <t>4 recommendations (2/app) each naming a specific mechanism</t>
  </si>
  <si>
    <t>11</t>
  </si>
  <si>
    <t>All 7 report sections present in submitted PDF</t>
  </si>
  <si>
    <t>12</t>
  </si>
  <si>
    <t>PDF named correctly and submitted to LMS before deadline</t>
  </si>
  <si>
    <t>ISO 25010 Quick Reference Card  |  All 8 Quality Characteristics</t>
  </si>
  <si>
    <t>Sub-Characteristics</t>
  </si>
  <si>
    <t>Key Question</t>
  </si>
  <si>
    <t>Test Approach</t>
  </si>
  <si>
    <t>Functional Suitability</t>
  </si>
  <si>
    <t>Completeness, Correctness, Appropriateness</t>
  </si>
  <si>
    <t>Does it do what users need?</t>
  </si>
  <si>
    <t>Feature checklist — Pass/Fail per advertised function. Test edge cases.</t>
  </si>
  <si>
    <t>Performance Efficiency</t>
  </si>
  <si>
    <t>Time behaviour, Resource utilisation, Capacity</t>
  </si>
  <si>
    <t>Does it do it fast enough?</t>
  </si>
  <si>
    <t>Stopwatch timings; device battery/data settings. Record actual numbers.</t>
  </si>
  <si>
    <t>Compatibility</t>
  </si>
  <si>
    <t>Co-existence, Interoperability</t>
  </si>
  <si>
    <t>Does it work with other systems?</t>
  </si>
  <si>
    <t>App store listing; cross-platform sync test; sharing test with 3+ apps.</t>
  </si>
  <si>
    <t>Usability</t>
  </si>
  <si>
    <t>Learnability, Operability, Aesthetics, Accessibility</t>
  </si>
  <si>
    <t>Is it easy and pleasant to use?</t>
  </si>
  <si>
    <t>5-task usability test — timed, unguided, record errors.</t>
  </si>
  <si>
    <t>Availability, Fault tolerance, Recoverability, Maturity</t>
  </si>
  <si>
    <t>Does it work consistently?</t>
  </si>
  <si>
    <t>10-min session; Airplane Mode test; force-close test; note crashes.</t>
  </si>
  <si>
    <t>Confidentiality, Integrity, Authenticity, Accountability</t>
  </si>
  <si>
    <t>Is data and access protected?</t>
  </si>
  <si>
    <t>HTTPS check; permissions list; 2FA; privacy policy review; lockout test.</t>
  </si>
  <si>
    <t>Maintainability</t>
  </si>
  <si>
    <t>Modularity, Analysability, Modifiability, Testability</t>
  </si>
  <si>
    <t>Can it be changed/fixed easily?</t>
  </si>
  <si>
    <t>Update history; changelog quality; open bug age; response to CVEs.</t>
  </si>
  <si>
    <t>Portability</t>
  </si>
  <si>
    <t>Adaptability, Install ability, Replaceability</t>
  </si>
  <si>
    <t>Can it run in different environments?</t>
  </si>
  <si>
    <t>Platform count; install/uninstall; cross-device sync; dark mode respect.</t>
  </si>
  <si>
    <t xml:space="preserve">  CHARACTERISTIC TRADE-OFFS — Know Before You Rate</t>
  </si>
  <si>
    <t>Trade-off</t>
  </si>
  <si>
    <t>Example</t>
  </si>
  <si>
    <t>Implication</t>
  </si>
  <si>
    <t>Security vs. Usability</t>
  </si>
  <si>
    <t>2FA improves security but adds login friction → lower usability score.</t>
  </si>
  <si>
    <t>Rate each independently. Note the trade-off in comparative analysis.</t>
  </si>
  <si>
    <t>Performance vs. Security</t>
  </si>
  <si>
    <t>Encryption adds CPU overhead → highly secure app may have slower response times.</t>
  </si>
  <si>
    <t>Do not penalize security for slower performance if encryption is the cause.</t>
  </si>
  <si>
    <t>Portability vs. Performance</t>
  </si>
  <si>
    <t>Cross-platform frameworks (React Native, Flutter) may perform worse than native.</t>
  </si>
  <si>
    <t>Document the platform context when rating performance.</t>
  </si>
  <si>
    <t>Reliability vs. Functionality</t>
  </si>
  <si>
    <t>Adding more features increases complexity → can reduce reliability score.</t>
  </si>
  <si>
    <t>A feature-rich app rated lower on reliability is an expected trade-off.</t>
  </si>
  <si>
    <t xml:space="preserve">  RATING SCALE — 1–5 LIKERT</t>
  </si>
  <si>
    <t>Example Justification</t>
  </si>
  <si>
    <t>Google Map</t>
  </si>
  <si>
    <t>11.72.0302</t>
  </si>
  <si>
    <t>infinix Hot 40i</t>
  </si>
  <si>
    <t>13.0.0</t>
  </si>
  <si>
    <t>Infinix Hot 40i</t>
  </si>
  <si>
    <t>Apple Map</t>
  </si>
  <si>
    <t>26.3.1 (a)</t>
  </si>
  <si>
    <t>iPhone 13 Pro</t>
  </si>
  <si>
    <t>Perform the app's main purpose (navigate)</t>
  </si>
  <si>
    <t>Pass</t>
  </si>
  <si>
    <t>We opened app and searched for kotli and it traced the location accurately and then navigated precisely as we follwed that route</t>
  </si>
  <si>
    <t>Test a key secondary feature (location sharing)</t>
  </si>
  <si>
    <t>Allow us to share our location through email and mutiple third pirty apps like whatsapp , telegram etc</t>
  </si>
  <si>
    <t>Test another secondary feature (offline map)</t>
  </si>
  <si>
    <t>Fail</t>
  </si>
  <si>
    <t xml:space="preserve">When I tried to locate offline it don’t support </t>
  </si>
  <si>
    <t>When tried to search by leaving the input filed empty it don’t shows any message for user and halt search and proceeded to default view</t>
  </si>
  <si>
    <t>It don’t work without internet</t>
  </si>
  <si>
    <t>1.58 sec</t>
  </si>
  <si>
    <t>2.19 sec</t>
  </si>
  <si>
    <t>When I searched a location (Bagh) it took more than 1 sec</t>
  </si>
  <si>
    <t>1.83 sec</t>
  </si>
  <si>
    <t>0.5 % / 10 min</t>
  </si>
  <si>
    <t>2 sec</t>
  </si>
  <si>
    <t>5 MB</t>
  </si>
  <si>
    <t>Andriod 9 and up</t>
  </si>
  <si>
    <t>Android, iOS, Windows, macOS, Web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</si>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</sst>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9"/>
      <color rgb="FF444444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11"/>
      <color rgb="FF1F3864"/>
      <name val="Arial"/>
    </font>
    <font>
      <sz val="8"/>
      <color rgb="FF000000"/>
      <name val="Arial"/>
    </font>
    <font>
      <b/>
      <sz val="10"/>
      <color rgb="FF1A6B5A"/>
      <name val="Arial"/>
    </font>
    <font>
      <b/>
      <sz val="11"/>
      <color rgb="FFFFFFFF"/>
      <name val="Arial"/>
    </font>
    <font>
      <i/>
      <sz val="9"/>
      <color rgb="FF888888"/>
      <name val="Arial"/>
    </font>
    <font>
      <b/>
      <sz val="10"/>
      <color rgb="FF1F3864"/>
      <name val="Arial"/>
    </font>
    <font>
      <b/>
      <sz val="14"/>
      <color rgb="FF1F3864"/>
      <name val="Arial"/>
    </font>
    <font>
      <b/>
      <sz val="13"/>
      <color rgb="FF1F3864"/>
      <name val="Arial"/>
    </font>
    <font>
      <i/>
      <sz val="8"/>
      <color rgb="FF888888"/>
      <name val="Arial"/>
    </font>
    <font>
      <i/>
      <sz val="8"/>
      <color rgb="FFA32D2D"/>
      <name val="Arial"/>
    </font>
    <font>
      <b/>
      <sz val="11"/>
      <color rgb="FF000000"/>
      <name val="Arial"/>
    </font>
    <font>
      <b/>
      <sz val="12"/>
      <color rgb="FF1F3864"/>
      <name val="Arial"/>
    </font>
    <font>
      <b/>
      <sz val="10"/>
      <color rgb="FFA32D2D"/>
      <name val="Arial"/>
    </font>
    <font>
      <sz val="9"/>
      <color rgb="FF2E75B6"/>
      <name val="Arial"/>
    </font>
    <font>
      <sz val="9"/>
      <color rgb="FF1A6B5A"/>
      <name val="Arial"/>
    </font>
    <font>
      <sz val="9"/>
      <color rgb="FF1F3864"/>
      <name val="Courier New"/>
    </font>
    <font>
      <b/>
      <sz val="9"/>
      <color rgb="FF1A6B5A"/>
      <name val="Arial"/>
    </font>
    <font>
      <b/>
      <sz val="9"/>
      <color rgb="FFA32D2D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i/>
      <sz val="8"/>
      <color rgb="FF000000"/>
      <name val="Arial"/>
    </font>
    <font>
      <sz val="9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D6EDE8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CCCCCC"/>
      </patternFill>
    </fill>
    <fill>
      <patternFill patternType="solid">
        <fgColor rgb="FF1A6B5A"/>
      </patternFill>
    </fill>
    <fill>
      <patternFill patternType="solid">
        <fgColor rgb="FFFFFFFF"/>
      </patternFill>
    </fill>
    <fill>
      <patternFill patternType="solid">
        <fgColor rgb="FFFFD96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 wrapText="1"/>
    </xf>
    <xf numFmtId="2" fontId="12" fillId="6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2" fontId="12" fillId="7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2" fontId="12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12" fillId="4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/>
    </xf>
    <xf numFmtId="2" fontId="12" fillId="1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2" fillId="4" borderId="1" xfId="0" applyNumberFormat="1" applyFont="1" applyFill="1" applyBorder="1" applyAlignment="1">
      <alignment horizontal="center" vertical="center"/>
    </xf>
    <xf numFmtId="1" fontId="22" fillId="12" borderId="1" xfId="0" applyNumberFormat="1" applyFont="1" applyFill="1" applyBorder="1" applyAlignment="1">
      <alignment horizontal="center" vertical="center"/>
    </xf>
    <xf numFmtId="2" fontId="1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2" fontId="23" fillId="4" borderId="1" xfId="0" applyNumberFormat="1" applyFont="1" applyFill="1" applyBorder="1" applyAlignment="1">
      <alignment horizontal="center" vertical="center"/>
    </xf>
    <xf numFmtId="2" fontId="24" fillId="4" borderId="1" xfId="0" applyNumberFormat="1" applyFont="1" applyFill="1" applyBorder="1" applyAlignment="1">
      <alignment horizontal="center" vertical="center"/>
    </xf>
    <xf numFmtId="9" fontId="7" fillId="12" borderId="1" xfId="0" applyNumberFormat="1" applyFont="1" applyFill="1" applyBorder="1" applyAlignment="1">
      <alignment horizontal="center" vertical="center"/>
    </xf>
    <xf numFmtId="2" fontId="23" fillId="12" borderId="1" xfId="0" applyNumberFormat="1" applyFont="1" applyFill="1" applyBorder="1" applyAlignment="1">
      <alignment horizontal="center" vertical="center"/>
    </xf>
    <xf numFmtId="2" fontId="24" fillId="12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left" vertical="center" wrapText="1"/>
    </xf>
    <xf numFmtId="0" fontId="30" fillId="7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left" vertical="center" wrapText="1"/>
    </xf>
    <xf numFmtId="0" fontId="30" fillId="4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left" vertical="center" wrapText="1"/>
    </xf>
    <xf numFmtId="0" fontId="30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18" fontId="5" fillId="5" borderId="1" xfId="0" applyNumberFormat="1" applyFont="1" applyFill="1" applyBorder="1" applyAlignment="1">
      <alignment horizontal="left" vertical="center" wrapText="1"/>
    </xf>
    <xf numFmtId="15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1"/>
  <sheetViews>
    <sheetView showGridLines="0" topLeftCell="A36" workbookViewId="0"/>
  </sheetViews>
  <sheetFormatPr defaultRowHeight="15" x14ac:dyDescent="0.25"/>
  <cols>
    <col min="1" max="1" width="3" customWidth="1"/>
    <col min="2" max="2" width="26" customWidth="1"/>
    <col min="3" max="3" width="28" customWidth="1"/>
    <col min="4" max="4" width="26" customWidth="1"/>
    <col min="5" max="5" width="28" customWidth="1"/>
    <col min="6" max="6" width="5" customWidth="1"/>
  </cols>
  <sheetData>
    <row r="1" spans="2:5" ht="36" customHeight="1" x14ac:dyDescent="0.25">
      <c r="B1" s="112" t="s">
        <v>0</v>
      </c>
      <c r="C1" s="111"/>
      <c r="D1" s="111"/>
      <c r="E1" s="111"/>
    </row>
    <row r="2" spans="2:5" ht="19.899999999999999" customHeight="1" x14ac:dyDescent="0.25">
      <c r="B2" s="113" t="s">
        <v>1</v>
      </c>
      <c r="C2" s="111"/>
      <c r="D2" s="111"/>
      <c r="E2" s="111"/>
    </row>
    <row r="3" spans="2:5" ht="7.9" customHeight="1" x14ac:dyDescent="0.25"/>
    <row r="4" spans="2:5" ht="16.149999999999999" customHeight="1" x14ac:dyDescent="0.25">
      <c r="B4" s="110" t="s">
        <v>2</v>
      </c>
      <c r="C4" s="111"/>
      <c r="D4" s="111"/>
      <c r="E4" s="111"/>
    </row>
    <row r="5" spans="2:5" ht="18" customHeight="1" x14ac:dyDescent="0.25">
      <c r="B5" s="2" t="s">
        <v>3</v>
      </c>
      <c r="C5" s="3"/>
      <c r="D5" s="4"/>
      <c r="E5" s="4"/>
    </row>
    <row r="6" spans="2:5" ht="18" customHeight="1" x14ac:dyDescent="0.25">
      <c r="B6" s="2" t="s">
        <v>4</v>
      </c>
      <c r="C6" s="3"/>
      <c r="D6" s="4"/>
      <c r="E6" s="4"/>
    </row>
    <row r="7" spans="2:5" ht="18" customHeight="1" x14ac:dyDescent="0.25">
      <c r="B7" s="2" t="s">
        <v>5</v>
      </c>
      <c r="C7" s="3"/>
      <c r="D7" s="4"/>
      <c r="E7" s="4"/>
    </row>
    <row r="8" spans="2:5" ht="18" customHeight="1" x14ac:dyDescent="0.25">
      <c r="B8" s="2" t="s">
        <v>6</v>
      </c>
      <c r="C8" s="3"/>
      <c r="D8" s="4"/>
      <c r="E8" s="4"/>
    </row>
    <row r="9" spans="2:5" ht="18" customHeight="1" x14ac:dyDescent="0.25">
      <c r="B9" s="2" t="s">
        <v>7</v>
      </c>
      <c r="C9" s="3"/>
      <c r="D9" s="4"/>
      <c r="E9" s="4"/>
    </row>
    <row r="10" spans="2:5" ht="18" customHeight="1" x14ac:dyDescent="0.25">
      <c r="B10" s="2" t="s">
        <v>8</v>
      </c>
      <c r="C10" s="3"/>
      <c r="D10" s="4"/>
      <c r="E10" s="4"/>
    </row>
    <row r="11" spans="2:5" ht="18" customHeight="1" x14ac:dyDescent="0.25">
      <c r="B11" s="2" t="s">
        <v>9</v>
      </c>
      <c r="C11" s="3" t="s">
        <v>10</v>
      </c>
      <c r="D11" s="4"/>
      <c r="E11" s="4"/>
    </row>
    <row r="12" spans="2:5" ht="7.9" customHeight="1" x14ac:dyDescent="0.25"/>
    <row r="13" spans="2:5" ht="16.149999999999999" customHeight="1" x14ac:dyDescent="0.25">
      <c r="B13" s="110" t="s">
        <v>11</v>
      </c>
      <c r="C13" s="111"/>
      <c r="D13" s="111"/>
      <c r="E13" s="111"/>
    </row>
    <row r="14" spans="2:5" ht="16.149999999999999" customHeight="1" x14ac:dyDescent="0.25">
      <c r="B14" s="114" t="s">
        <v>12</v>
      </c>
      <c r="C14" s="111"/>
      <c r="D14" s="111"/>
      <c r="E14" s="111"/>
    </row>
    <row r="15" spans="2:5" ht="18" customHeight="1" x14ac:dyDescent="0.25">
      <c r="B15" s="1" t="s">
        <v>13</v>
      </c>
      <c r="C15" s="1" t="s">
        <v>14</v>
      </c>
      <c r="D15" s="1" t="s">
        <v>15</v>
      </c>
      <c r="E15" s="1" t="s">
        <v>16</v>
      </c>
    </row>
    <row r="16" spans="2:5" ht="16.899999999999999" customHeight="1" x14ac:dyDescent="0.25">
      <c r="B16" s="5" t="s">
        <v>17</v>
      </c>
      <c r="C16" s="6" t="s">
        <v>18</v>
      </c>
      <c r="D16" s="6" t="s">
        <v>19</v>
      </c>
      <c r="E16" s="6" t="s">
        <v>20</v>
      </c>
    </row>
    <row r="17" spans="2:5" ht="16.899999999999999" customHeight="1" x14ac:dyDescent="0.25">
      <c r="B17" s="7" t="s">
        <v>21</v>
      </c>
      <c r="C17" s="8" t="s">
        <v>22</v>
      </c>
      <c r="D17" s="8" t="s">
        <v>23</v>
      </c>
      <c r="E17" s="8" t="s">
        <v>24</v>
      </c>
    </row>
    <row r="18" spans="2:5" ht="16.899999999999999" customHeight="1" x14ac:dyDescent="0.25">
      <c r="B18" s="9" t="s">
        <v>25</v>
      </c>
      <c r="C18" s="10" t="s">
        <v>26</v>
      </c>
      <c r="D18" s="10" t="s">
        <v>27</v>
      </c>
      <c r="E18" s="10" t="s">
        <v>28</v>
      </c>
    </row>
    <row r="19" spans="2:5" ht="16.899999999999999" customHeight="1" x14ac:dyDescent="0.25">
      <c r="B19" s="11" t="s">
        <v>29</v>
      </c>
      <c r="C19" s="12" t="s">
        <v>30</v>
      </c>
      <c r="D19" s="12" t="s">
        <v>31</v>
      </c>
      <c r="E19" s="12" t="s">
        <v>32</v>
      </c>
    </row>
    <row r="20" spans="2:5" ht="16.899999999999999" customHeight="1" x14ac:dyDescent="0.25">
      <c r="B20" s="13" t="s">
        <v>33</v>
      </c>
      <c r="C20" s="14" t="s">
        <v>34</v>
      </c>
      <c r="D20" s="14" t="s">
        <v>35</v>
      </c>
      <c r="E20" s="14" t="s">
        <v>36</v>
      </c>
    </row>
    <row r="21" spans="2:5" ht="16.899999999999999" customHeight="1" x14ac:dyDescent="0.25">
      <c r="B21" s="15" t="s">
        <v>37</v>
      </c>
      <c r="C21" s="16" t="s">
        <v>38</v>
      </c>
      <c r="D21" s="16" t="s">
        <v>39</v>
      </c>
      <c r="E21" s="16" t="s">
        <v>40</v>
      </c>
    </row>
    <row r="22" spans="2:5" ht="7.9" customHeight="1" x14ac:dyDescent="0.25"/>
    <row r="23" spans="2:5" ht="16.149999999999999" customHeight="1" x14ac:dyDescent="0.25">
      <c r="B23" s="110" t="s">
        <v>41</v>
      </c>
      <c r="C23" s="111"/>
      <c r="D23" s="111"/>
      <c r="E23" s="111"/>
    </row>
    <row r="24" spans="2:5" ht="16.149999999999999" customHeight="1" x14ac:dyDescent="0.25">
      <c r="B24" s="2" t="s">
        <v>42</v>
      </c>
      <c r="C24" s="2" t="s">
        <v>43</v>
      </c>
      <c r="D24" s="2" t="s">
        <v>44</v>
      </c>
      <c r="E24" s="2"/>
    </row>
    <row r="25" spans="2:5" ht="19.899999999999999" customHeight="1" x14ac:dyDescent="0.25">
      <c r="B25" s="3"/>
      <c r="C25" s="3"/>
      <c r="D25" s="3"/>
      <c r="E25" s="3"/>
    </row>
    <row r="26" spans="2:5" ht="7.9" customHeight="1" x14ac:dyDescent="0.25"/>
    <row r="27" spans="2:5" ht="16.149999999999999" customHeight="1" x14ac:dyDescent="0.25">
      <c r="B27" s="110" t="s">
        <v>45</v>
      </c>
      <c r="C27" s="111"/>
      <c r="D27" s="111"/>
      <c r="E27" s="111"/>
    </row>
    <row r="28" spans="2:5" ht="16.149999999999999" customHeight="1" x14ac:dyDescent="0.25">
      <c r="B28" s="17" t="s">
        <v>46</v>
      </c>
      <c r="C28" s="17" t="s">
        <v>14</v>
      </c>
      <c r="D28" s="17" t="s">
        <v>46</v>
      </c>
      <c r="E28" s="17" t="s">
        <v>15</v>
      </c>
    </row>
    <row r="29" spans="2:5" ht="18" customHeight="1" x14ac:dyDescent="0.25">
      <c r="B29" s="2" t="s">
        <v>47</v>
      </c>
      <c r="C29" s="3"/>
      <c r="D29" s="2" t="s">
        <v>47</v>
      </c>
      <c r="E29" s="3"/>
    </row>
    <row r="30" spans="2:5" ht="18" customHeight="1" x14ac:dyDescent="0.25">
      <c r="B30" s="2" t="s">
        <v>48</v>
      </c>
      <c r="C30" s="3"/>
      <c r="D30" s="2" t="s">
        <v>48</v>
      </c>
      <c r="E30" s="3"/>
    </row>
    <row r="31" spans="2:5" ht="18" customHeight="1" x14ac:dyDescent="0.25">
      <c r="B31" s="2" t="s">
        <v>49</v>
      </c>
      <c r="C31" s="3"/>
      <c r="D31" s="2" t="s">
        <v>49</v>
      </c>
      <c r="E31" s="3"/>
    </row>
    <row r="32" spans="2:5" ht="18" customHeight="1" x14ac:dyDescent="0.25">
      <c r="B32" s="2" t="s">
        <v>50</v>
      </c>
      <c r="C32" s="3"/>
      <c r="D32" s="2" t="s">
        <v>50</v>
      </c>
      <c r="E32" s="3"/>
    </row>
    <row r="33" spans="2:5" ht="18" customHeight="1" x14ac:dyDescent="0.25">
      <c r="B33" s="2" t="s">
        <v>51</v>
      </c>
      <c r="C33" s="3"/>
      <c r="D33" s="2" t="s">
        <v>51</v>
      </c>
      <c r="E33" s="3"/>
    </row>
    <row r="34" spans="2:5" ht="18" customHeight="1" x14ac:dyDescent="0.25">
      <c r="B34" s="2" t="s">
        <v>52</v>
      </c>
      <c r="C34" s="3"/>
      <c r="D34" s="2" t="s">
        <v>52</v>
      </c>
      <c r="E34" s="3"/>
    </row>
    <row r="35" spans="2:5" ht="7.9" customHeight="1" x14ac:dyDescent="0.25"/>
    <row r="36" spans="2:5" ht="16.149999999999999" customHeight="1" x14ac:dyDescent="0.25">
      <c r="B36" s="110" t="s">
        <v>53</v>
      </c>
      <c r="C36" s="111"/>
      <c r="D36" s="111"/>
      <c r="E36" s="111"/>
    </row>
    <row r="37" spans="2:5" ht="16.149999999999999" customHeight="1" x14ac:dyDescent="0.25">
      <c r="B37" s="18" t="s">
        <v>54</v>
      </c>
      <c r="C37" s="18" t="s">
        <v>55</v>
      </c>
      <c r="D37" s="18" t="s">
        <v>56</v>
      </c>
      <c r="E37" s="18" t="s">
        <v>57</v>
      </c>
    </row>
    <row r="38" spans="2:5" ht="18" customHeight="1" x14ac:dyDescent="0.25">
      <c r="B38" s="19" t="s">
        <v>58</v>
      </c>
      <c r="C38" s="19" t="s">
        <v>59</v>
      </c>
      <c r="D38" s="19" t="s">
        <v>60</v>
      </c>
      <c r="E38" s="20"/>
    </row>
    <row r="39" spans="2:5" ht="18" customHeight="1" x14ac:dyDescent="0.25">
      <c r="B39" s="19" t="s">
        <v>61</v>
      </c>
      <c r="C39" s="19" t="s">
        <v>62</v>
      </c>
      <c r="D39" s="19" t="s">
        <v>60</v>
      </c>
      <c r="E39" s="20"/>
    </row>
    <row r="40" spans="2:5" ht="18" customHeight="1" x14ac:dyDescent="0.25">
      <c r="B40" s="19" t="s">
        <v>63</v>
      </c>
      <c r="C40" s="19" t="s">
        <v>64</v>
      </c>
      <c r="D40" s="19" t="s">
        <v>60</v>
      </c>
      <c r="E40" s="20"/>
    </row>
    <row r="41" spans="2:5" ht="18" customHeight="1" x14ac:dyDescent="0.25">
      <c r="B41" s="19" t="s">
        <v>65</v>
      </c>
      <c r="C41" s="19" t="s">
        <v>66</v>
      </c>
      <c r="D41" s="19" t="s">
        <v>67</v>
      </c>
      <c r="E41" s="20"/>
    </row>
    <row r="42" spans="2:5" ht="18" customHeight="1" x14ac:dyDescent="0.25">
      <c r="B42" s="19" t="s">
        <v>68</v>
      </c>
      <c r="C42" s="19" t="s">
        <v>69</v>
      </c>
      <c r="D42" s="19" t="s">
        <v>67</v>
      </c>
      <c r="E42" s="20"/>
    </row>
    <row r="43" spans="2:5" ht="18" customHeight="1" x14ac:dyDescent="0.25">
      <c r="B43" s="19" t="s">
        <v>70</v>
      </c>
      <c r="C43" s="19" t="s">
        <v>71</v>
      </c>
      <c r="D43" s="19" t="s">
        <v>67</v>
      </c>
      <c r="E43" s="20"/>
    </row>
    <row r="44" spans="2:5" ht="7.9" customHeight="1" x14ac:dyDescent="0.25"/>
    <row r="45" spans="2:5" ht="16.149999999999999" customHeight="1" x14ac:dyDescent="0.25">
      <c r="B45" s="110" t="s">
        <v>72</v>
      </c>
      <c r="C45" s="111"/>
      <c r="D45" s="111"/>
      <c r="E45" s="111"/>
    </row>
    <row r="46" spans="2:5" ht="16.149999999999999" customHeight="1" x14ac:dyDescent="0.25">
      <c r="B46" s="18" t="s">
        <v>73</v>
      </c>
      <c r="C46" s="18" t="s">
        <v>74</v>
      </c>
      <c r="D46" s="18" t="s">
        <v>75</v>
      </c>
      <c r="E46" s="18" t="s">
        <v>76</v>
      </c>
    </row>
    <row r="47" spans="2:5" ht="22.15" customHeight="1" x14ac:dyDescent="0.25">
      <c r="B47" s="21">
        <v>5</v>
      </c>
      <c r="C47" s="21" t="s">
        <v>77</v>
      </c>
      <c r="D47" s="20" t="s">
        <v>78</v>
      </c>
      <c r="E47" s="20" t="s">
        <v>79</v>
      </c>
    </row>
    <row r="48" spans="2:5" ht="22.15" customHeight="1" x14ac:dyDescent="0.25">
      <c r="B48" s="22">
        <v>4</v>
      </c>
      <c r="C48" s="22" t="s">
        <v>80</v>
      </c>
      <c r="D48" s="23" t="s">
        <v>81</v>
      </c>
      <c r="E48" s="23" t="s">
        <v>82</v>
      </c>
    </row>
    <row r="49" spans="2:5" ht="22.15" customHeight="1" x14ac:dyDescent="0.25">
      <c r="B49" s="24">
        <v>3</v>
      </c>
      <c r="C49" s="24" t="s">
        <v>83</v>
      </c>
      <c r="D49" s="25" t="s">
        <v>84</v>
      </c>
      <c r="E49" s="25" t="s">
        <v>85</v>
      </c>
    </row>
    <row r="50" spans="2:5" ht="22.15" customHeight="1" x14ac:dyDescent="0.25">
      <c r="B50" s="26">
        <v>2</v>
      </c>
      <c r="C50" s="26" t="s">
        <v>86</v>
      </c>
      <c r="D50" s="27" t="s">
        <v>87</v>
      </c>
      <c r="E50" s="27" t="s">
        <v>88</v>
      </c>
    </row>
    <row r="51" spans="2:5" ht="22.15" customHeight="1" x14ac:dyDescent="0.25">
      <c r="B51" s="28">
        <v>1</v>
      </c>
      <c r="C51" s="28" t="s">
        <v>89</v>
      </c>
      <c r="D51" s="29" t="s">
        <v>90</v>
      </c>
      <c r="E51" s="29" t="s">
        <v>91</v>
      </c>
    </row>
  </sheetData>
  <mergeCells count="9">
    <mergeCell ref="B45:E45"/>
    <mergeCell ref="B23:E23"/>
    <mergeCell ref="B27:E27"/>
    <mergeCell ref="B1:E1"/>
    <mergeCell ref="B4:E4"/>
    <mergeCell ref="B13:E13"/>
    <mergeCell ref="B2:E2"/>
    <mergeCell ref="B36:E36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2"/>
  <sheetViews>
    <sheetView showGridLines="0" topLeftCell="A36" workbookViewId="0">
      <selection activeCell="C16" sqref="C16"/>
    </sheetView>
  </sheetViews>
  <sheetFormatPr defaultRowHeight="15" x14ac:dyDescent="0.25"/>
  <cols>
    <col min="1" max="1" width="3" customWidth="1"/>
    <col min="2" max="2" width="24" customWidth="1"/>
    <col min="3" max="4" width="7" customWidth="1"/>
    <col min="5" max="5" width="40" customWidth="1"/>
    <col min="6" max="6" width="12" customWidth="1"/>
    <col min="7" max="7" width="5" customWidth="1"/>
  </cols>
  <sheetData>
    <row r="1" spans="2:6" ht="31.9" customHeight="1" x14ac:dyDescent="0.25">
      <c r="B1" s="123" t="s">
        <v>92</v>
      </c>
      <c r="C1" s="111"/>
      <c r="D1" s="111"/>
      <c r="E1" s="111"/>
      <c r="F1" s="111"/>
    </row>
    <row r="2" spans="2:6" ht="18" customHeight="1" x14ac:dyDescent="0.25">
      <c r="B2" s="124" t="s">
        <v>93</v>
      </c>
      <c r="C2" s="111"/>
      <c r="D2" s="111"/>
      <c r="E2" s="111"/>
      <c r="F2" s="111"/>
    </row>
    <row r="3" spans="2:6" ht="7.9" customHeight="1" x14ac:dyDescent="0.25"/>
    <row r="4" spans="2:6" ht="16.149999999999999" customHeight="1" x14ac:dyDescent="0.25">
      <c r="B4" s="110" t="s">
        <v>94</v>
      </c>
      <c r="C4" s="111"/>
      <c r="D4" s="111"/>
      <c r="E4" s="111"/>
      <c r="F4" s="111"/>
    </row>
    <row r="5" spans="2:6" ht="18" customHeight="1" x14ac:dyDescent="0.25">
      <c r="B5" s="2" t="s">
        <v>47</v>
      </c>
      <c r="C5" s="115" t="s">
        <v>95</v>
      </c>
      <c r="D5" s="111"/>
      <c r="E5" s="111"/>
      <c r="F5" s="111"/>
    </row>
    <row r="6" spans="2:6" ht="18" customHeight="1" x14ac:dyDescent="0.25">
      <c r="B6" s="2" t="s">
        <v>96</v>
      </c>
      <c r="C6" s="115" t="s">
        <v>97</v>
      </c>
      <c r="D6" s="111"/>
      <c r="E6" s="111"/>
      <c r="F6" s="111"/>
    </row>
    <row r="7" spans="2:6" ht="18" customHeight="1" x14ac:dyDescent="0.25">
      <c r="B7" s="2" t="s">
        <v>98</v>
      </c>
      <c r="C7" s="115" t="s">
        <v>99</v>
      </c>
      <c r="D7" s="111"/>
      <c r="E7" s="111"/>
      <c r="F7" s="111"/>
    </row>
    <row r="8" spans="2:6" ht="18" customHeight="1" x14ac:dyDescent="0.25">
      <c r="B8" s="2" t="s">
        <v>100</v>
      </c>
      <c r="C8" s="115" t="s">
        <v>101</v>
      </c>
      <c r="D8" s="111"/>
      <c r="E8" s="111"/>
      <c r="F8" s="111"/>
    </row>
    <row r="9" spans="2:6" ht="18" customHeight="1" x14ac:dyDescent="0.25">
      <c r="B9" s="2" t="s">
        <v>102</v>
      </c>
      <c r="C9" s="115" t="s">
        <v>103</v>
      </c>
      <c r="D9" s="111"/>
      <c r="E9" s="111"/>
      <c r="F9" s="111"/>
    </row>
    <row r="10" spans="2:6" ht="18" customHeight="1" x14ac:dyDescent="0.25">
      <c r="B10" s="2" t="s">
        <v>104</v>
      </c>
      <c r="C10" s="115" t="s">
        <v>105</v>
      </c>
      <c r="D10" s="111"/>
      <c r="E10" s="111"/>
      <c r="F10" s="111"/>
    </row>
    <row r="11" spans="2:6" ht="18" customHeight="1" x14ac:dyDescent="0.25">
      <c r="B11" s="2" t="s">
        <v>106</v>
      </c>
      <c r="C11" s="115" t="s">
        <v>107</v>
      </c>
      <c r="D11" s="111"/>
      <c r="E11" s="111"/>
      <c r="F11" s="111"/>
    </row>
    <row r="12" spans="2:6" ht="18" customHeight="1" x14ac:dyDescent="0.25">
      <c r="B12" s="2" t="s">
        <v>108</v>
      </c>
      <c r="C12" s="115" t="s">
        <v>109</v>
      </c>
      <c r="D12" s="111"/>
      <c r="E12" s="111"/>
      <c r="F12" s="111"/>
    </row>
    <row r="13" spans="2:6" ht="7.9" customHeight="1" x14ac:dyDescent="0.25"/>
    <row r="14" spans="2:6" ht="16.149999999999999" customHeight="1" x14ac:dyDescent="0.25">
      <c r="B14" s="110" t="s">
        <v>110</v>
      </c>
      <c r="C14" s="111"/>
      <c r="D14" s="111"/>
      <c r="E14" s="111"/>
      <c r="F14" s="111"/>
    </row>
    <row r="15" spans="2:6" ht="24" customHeight="1" x14ac:dyDescent="0.25">
      <c r="B15" s="18" t="s">
        <v>111</v>
      </c>
      <c r="C15" s="18" t="s">
        <v>73</v>
      </c>
      <c r="D15" s="18" t="s">
        <v>112</v>
      </c>
      <c r="E15" s="18" t="s">
        <v>113</v>
      </c>
      <c r="F15" s="18" t="s">
        <v>114</v>
      </c>
    </row>
    <row r="16" spans="2:6" ht="55.15" customHeight="1" x14ac:dyDescent="0.25">
      <c r="B16" s="22" t="s">
        <v>115</v>
      </c>
      <c r="C16" s="30">
        <v>4</v>
      </c>
      <c r="D16" s="31" t="s">
        <v>116</v>
      </c>
      <c r="E16" s="32" t="s">
        <v>117</v>
      </c>
      <c r="F16" s="33">
        <f>C16*0.15</f>
        <v>0.6</v>
      </c>
    </row>
    <row r="17" spans="2:6" ht="55.15" customHeight="1" x14ac:dyDescent="0.25">
      <c r="B17" s="21" t="s">
        <v>118</v>
      </c>
      <c r="C17" s="34">
        <v>5</v>
      </c>
      <c r="D17" s="35" t="s">
        <v>119</v>
      </c>
      <c r="E17" s="32" t="s">
        <v>120</v>
      </c>
      <c r="F17" s="36">
        <f>C17*0.12</f>
        <v>0.6</v>
      </c>
    </row>
    <row r="18" spans="2:6" ht="55.15" customHeight="1" x14ac:dyDescent="0.25">
      <c r="B18" s="37" t="s">
        <v>121</v>
      </c>
      <c r="C18" s="38">
        <v>5</v>
      </c>
      <c r="D18" s="39" t="s">
        <v>122</v>
      </c>
      <c r="E18" s="32" t="s">
        <v>123</v>
      </c>
      <c r="F18" s="40">
        <f>C18*0.1</f>
        <v>0.5</v>
      </c>
    </row>
    <row r="19" spans="2:6" ht="55.15" customHeight="1" x14ac:dyDescent="0.25">
      <c r="B19" s="24" t="s">
        <v>124</v>
      </c>
      <c r="C19" s="41">
        <v>4</v>
      </c>
      <c r="D19" s="42" t="s">
        <v>116</v>
      </c>
      <c r="E19" s="32" t="s">
        <v>125</v>
      </c>
      <c r="F19" s="43">
        <f>C19*0.15</f>
        <v>0.6</v>
      </c>
    </row>
    <row r="20" spans="2:6" ht="55.15" customHeight="1" x14ac:dyDescent="0.25">
      <c r="B20" s="22" t="s">
        <v>126</v>
      </c>
      <c r="C20" s="30">
        <v>4</v>
      </c>
      <c r="D20" s="31" t="s">
        <v>116</v>
      </c>
      <c r="E20" s="32" t="s">
        <v>127</v>
      </c>
      <c r="F20" s="33">
        <f>C20*0.15</f>
        <v>0.6</v>
      </c>
    </row>
    <row r="21" spans="2:6" ht="55.15" customHeight="1" x14ac:dyDescent="0.25">
      <c r="B21" s="21" t="s">
        <v>128</v>
      </c>
      <c r="C21" s="34">
        <v>5</v>
      </c>
      <c r="D21" s="35" t="s">
        <v>116</v>
      </c>
      <c r="E21" s="32" t="s">
        <v>129</v>
      </c>
      <c r="F21" s="36">
        <f>C21*0.15</f>
        <v>0.75</v>
      </c>
    </row>
    <row r="22" spans="2:6" ht="55.15" customHeight="1" x14ac:dyDescent="0.25">
      <c r="B22" s="44" t="s">
        <v>130</v>
      </c>
      <c r="C22" s="45">
        <v>4</v>
      </c>
      <c r="D22" s="46" t="s">
        <v>131</v>
      </c>
      <c r="E22" s="32" t="s">
        <v>132</v>
      </c>
      <c r="F22" s="47">
        <f>C22*0.08</f>
        <v>0.32</v>
      </c>
    </row>
    <row r="23" spans="2:6" ht="55.15" customHeight="1" x14ac:dyDescent="0.25">
      <c r="B23" s="37" t="s">
        <v>133</v>
      </c>
      <c r="C23" s="38">
        <v>5</v>
      </c>
      <c r="D23" s="39" t="s">
        <v>122</v>
      </c>
      <c r="E23" s="32" t="s">
        <v>134</v>
      </c>
      <c r="F23" s="40">
        <f>C23*0.1</f>
        <v>0.5</v>
      </c>
    </row>
    <row r="24" spans="2:6" ht="24" customHeight="1" x14ac:dyDescent="0.25">
      <c r="B24" s="122" t="s">
        <v>135</v>
      </c>
      <c r="C24" s="111"/>
      <c r="D24" s="111"/>
      <c r="E24" s="111"/>
      <c r="F24" s="48">
        <f>SUM(F16:F23)</f>
        <v>4.47</v>
      </c>
    </row>
    <row r="25" spans="2:6" ht="7.9" customHeight="1" x14ac:dyDescent="0.25"/>
    <row r="26" spans="2:6" ht="16.149999999999999" customHeight="1" x14ac:dyDescent="0.25">
      <c r="B26" s="110" t="s">
        <v>136</v>
      </c>
      <c r="C26" s="111"/>
      <c r="D26" s="111"/>
      <c r="E26" s="111"/>
      <c r="F26" s="111"/>
    </row>
    <row r="27" spans="2:6" ht="18" customHeight="1" x14ac:dyDescent="0.25">
      <c r="B27" s="119" t="s">
        <v>137</v>
      </c>
      <c r="C27" s="120"/>
      <c r="D27" s="119"/>
      <c r="E27" s="121"/>
      <c r="F27" s="120"/>
    </row>
    <row r="28" spans="2:6" ht="30" customHeight="1" x14ac:dyDescent="0.25">
      <c r="B28" s="117" t="s">
        <v>138</v>
      </c>
      <c r="C28" s="111"/>
      <c r="D28" s="118" t="s">
        <v>139</v>
      </c>
      <c r="E28" s="111"/>
      <c r="F28" s="111"/>
    </row>
    <row r="29" spans="2:6" ht="30" customHeight="1" x14ac:dyDescent="0.25">
      <c r="B29" s="117" t="s">
        <v>140</v>
      </c>
      <c r="C29" s="111"/>
      <c r="D29" s="118" t="s">
        <v>141</v>
      </c>
      <c r="E29" s="111"/>
      <c r="F29" s="111"/>
    </row>
    <row r="30" spans="2:6" ht="30" customHeight="1" x14ac:dyDescent="0.25">
      <c r="B30" s="117" t="s">
        <v>142</v>
      </c>
      <c r="C30" s="111"/>
      <c r="D30" s="118" t="s">
        <v>143</v>
      </c>
      <c r="E30" s="111"/>
      <c r="F30" s="111"/>
    </row>
    <row r="31" spans="2:6" ht="30" customHeight="1" x14ac:dyDescent="0.25">
      <c r="B31" s="117" t="s">
        <v>144</v>
      </c>
      <c r="C31" s="111"/>
      <c r="D31" s="118" t="s">
        <v>145</v>
      </c>
      <c r="E31" s="111"/>
      <c r="F31" s="111"/>
    </row>
    <row r="32" spans="2:6" ht="7.9" customHeight="1" x14ac:dyDescent="0.25"/>
    <row r="33" spans="2:6" ht="16.149999999999999" customHeight="1" x14ac:dyDescent="0.25">
      <c r="B33" s="110" t="s">
        <v>146</v>
      </c>
      <c r="C33" s="111"/>
      <c r="D33" s="111"/>
      <c r="E33" s="111"/>
      <c r="F33" s="111"/>
    </row>
    <row r="34" spans="2:6" ht="18" customHeight="1" x14ac:dyDescent="0.25">
      <c r="B34" s="116" t="s">
        <v>147</v>
      </c>
      <c r="C34" s="111"/>
      <c r="D34" s="111"/>
      <c r="E34" s="111"/>
      <c r="F34" s="111"/>
    </row>
    <row r="35" spans="2:6" ht="18" customHeight="1" x14ac:dyDescent="0.25">
      <c r="B35" s="111"/>
      <c r="C35" s="111"/>
      <c r="D35" s="111"/>
      <c r="E35" s="111"/>
      <c r="F35" s="111"/>
    </row>
    <row r="36" spans="2:6" ht="18" customHeight="1" x14ac:dyDescent="0.25">
      <c r="B36" s="111"/>
      <c r="C36" s="111"/>
      <c r="D36" s="111"/>
      <c r="E36" s="111"/>
      <c r="F36" s="111"/>
    </row>
    <row r="37" spans="2:6" ht="18" customHeight="1" x14ac:dyDescent="0.25">
      <c r="B37" s="111"/>
      <c r="C37" s="111"/>
      <c r="D37" s="111"/>
      <c r="E37" s="111"/>
      <c r="F37" s="111"/>
    </row>
    <row r="38" spans="2:6" ht="18" customHeight="1" x14ac:dyDescent="0.25">
      <c r="B38" s="111"/>
      <c r="C38" s="111"/>
      <c r="D38" s="111"/>
      <c r="E38" s="111"/>
      <c r="F38" s="111"/>
    </row>
    <row r="39" spans="2:6" ht="18" customHeight="1" x14ac:dyDescent="0.25">
      <c r="B39" s="111"/>
      <c r="C39" s="111"/>
      <c r="D39" s="111"/>
      <c r="E39" s="111"/>
      <c r="F39" s="111"/>
    </row>
    <row r="40" spans="2:6" ht="18" customHeight="1" x14ac:dyDescent="0.25">
      <c r="B40" s="111"/>
      <c r="C40" s="111"/>
      <c r="D40" s="111"/>
      <c r="E40" s="111"/>
      <c r="F40" s="111"/>
    </row>
    <row r="41" spans="2:6" ht="18" customHeight="1" x14ac:dyDescent="0.25">
      <c r="B41" s="111"/>
      <c r="C41" s="111"/>
      <c r="D41" s="111"/>
      <c r="E41" s="111"/>
      <c r="F41" s="111"/>
    </row>
    <row r="42" spans="2:6" ht="18" customHeight="1" x14ac:dyDescent="0.25">
      <c r="B42" s="111"/>
      <c r="C42" s="111"/>
      <c r="D42" s="111"/>
      <c r="E42" s="111"/>
      <c r="F42" s="111"/>
    </row>
  </sheetData>
  <mergeCells count="26">
    <mergeCell ref="B1:F1"/>
    <mergeCell ref="B14:F14"/>
    <mergeCell ref="B2:F2"/>
    <mergeCell ref="B4:F4"/>
    <mergeCell ref="C5:F5"/>
    <mergeCell ref="D29:F29"/>
    <mergeCell ref="B29:C29"/>
    <mergeCell ref="B28:C28"/>
    <mergeCell ref="C10:F10"/>
    <mergeCell ref="C9:F9"/>
    <mergeCell ref="B27:C27"/>
    <mergeCell ref="D28:F28"/>
    <mergeCell ref="C6:F6"/>
    <mergeCell ref="D27:F27"/>
    <mergeCell ref="C8:F8"/>
    <mergeCell ref="C7:F7"/>
    <mergeCell ref="B24:E24"/>
    <mergeCell ref="B33:F33"/>
    <mergeCell ref="C12:F12"/>
    <mergeCell ref="B34:F42"/>
    <mergeCell ref="C11:F11"/>
    <mergeCell ref="B26:F26"/>
    <mergeCell ref="B31:C31"/>
    <mergeCell ref="D31:F31"/>
    <mergeCell ref="D30:F30"/>
    <mergeCell ref="B30:C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5"/>
  <sheetViews>
    <sheetView showGridLines="0" topLeftCell="A22" workbookViewId="0">
      <selection activeCell="C7" sqref="C7:F7"/>
    </sheetView>
  </sheetViews>
  <sheetFormatPr defaultRowHeight="15" x14ac:dyDescent="0.25"/>
  <cols>
    <col min="1" max="1" width="3" customWidth="1"/>
    <col min="2" max="3" width="22" customWidth="1"/>
    <col min="4" max="5" width="10" customWidth="1"/>
    <col min="6" max="6" width="22" customWidth="1"/>
    <col min="7" max="7" width="5" customWidth="1"/>
  </cols>
  <sheetData>
    <row r="1" spans="2:6" ht="31.9" customHeight="1" x14ac:dyDescent="0.25">
      <c r="B1" s="123" t="s">
        <v>148</v>
      </c>
      <c r="C1" s="111"/>
      <c r="D1" s="111"/>
      <c r="E1" s="111"/>
      <c r="F1" s="111"/>
    </row>
    <row r="2" spans="2:6" ht="18" customHeight="1" x14ac:dyDescent="0.25">
      <c r="B2" s="124" t="s">
        <v>149</v>
      </c>
      <c r="C2" s="111"/>
      <c r="D2" s="111"/>
      <c r="E2" s="111"/>
      <c r="F2" s="111"/>
    </row>
    <row r="3" spans="2:6" ht="7.9" customHeight="1" x14ac:dyDescent="0.25"/>
    <row r="4" spans="2:6" ht="16.149999999999999" customHeight="1" x14ac:dyDescent="0.25">
      <c r="B4" s="110" t="s">
        <v>150</v>
      </c>
      <c r="C4" s="111"/>
      <c r="D4" s="111"/>
      <c r="E4" s="111"/>
      <c r="F4" s="111"/>
    </row>
    <row r="5" spans="2:6" ht="18" customHeight="1" x14ac:dyDescent="0.25">
      <c r="B5" s="2" t="s">
        <v>43</v>
      </c>
      <c r="C5" s="128" t="s">
        <v>540</v>
      </c>
      <c r="D5" s="111"/>
      <c r="E5" s="111"/>
      <c r="F5" s="111"/>
    </row>
    <row r="6" spans="2:6" ht="18" customHeight="1" x14ac:dyDescent="0.25">
      <c r="B6" s="2" t="s">
        <v>48</v>
      </c>
      <c r="C6" s="128" t="s">
        <v>541</v>
      </c>
      <c r="D6" s="111"/>
      <c r="E6" s="111"/>
      <c r="F6" s="111"/>
    </row>
    <row r="7" spans="2:6" ht="18" customHeight="1" x14ac:dyDescent="0.25">
      <c r="B7" s="2" t="s">
        <v>7</v>
      </c>
      <c r="C7" s="128" t="s">
        <v>544</v>
      </c>
      <c r="D7" s="111"/>
      <c r="E7" s="111"/>
      <c r="F7" s="111"/>
    </row>
    <row r="8" spans="2:6" ht="18" customHeight="1" x14ac:dyDescent="0.25">
      <c r="B8" s="2" t="s">
        <v>8</v>
      </c>
      <c r="C8" s="128" t="s">
        <v>543</v>
      </c>
      <c r="D8" s="111"/>
      <c r="E8" s="111"/>
      <c r="F8" s="111"/>
    </row>
    <row r="9" spans="2:6" ht="18" customHeight="1" x14ac:dyDescent="0.25">
      <c r="B9" s="2" t="s">
        <v>104</v>
      </c>
      <c r="C9" s="127">
        <v>46128</v>
      </c>
      <c r="D9" s="111"/>
      <c r="E9" s="111"/>
      <c r="F9" s="111"/>
    </row>
    <row r="10" spans="2:6" ht="18" customHeight="1" x14ac:dyDescent="0.25">
      <c r="B10" s="2" t="s">
        <v>151</v>
      </c>
      <c r="C10" s="126">
        <v>0.41875000000000001</v>
      </c>
      <c r="D10" s="111"/>
      <c r="E10" s="111"/>
      <c r="F10" s="111"/>
    </row>
    <row r="11" spans="2:6" ht="10.15" customHeight="1" x14ac:dyDescent="0.25"/>
    <row r="12" spans="2:6" ht="16.149999999999999" customHeight="1" x14ac:dyDescent="0.25">
      <c r="B12" s="110" t="s">
        <v>152</v>
      </c>
      <c r="C12" s="111"/>
      <c r="D12" s="111"/>
      <c r="E12" s="111"/>
      <c r="F12" s="111"/>
    </row>
    <row r="13" spans="2:6" ht="19.899999999999999" customHeight="1" x14ac:dyDescent="0.25">
      <c r="B13" s="1" t="s">
        <v>153</v>
      </c>
      <c r="C13" s="1" t="s">
        <v>154</v>
      </c>
      <c r="D13" s="1" t="s">
        <v>155</v>
      </c>
      <c r="E13" s="1" t="s">
        <v>156</v>
      </c>
      <c r="F13" s="1" t="s">
        <v>157</v>
      </c>
    </row>
    <row r="14" spans="2:6" ht="28.15" customHeight="1" x14ac:dyDescent="0.25">
      <c r="B14" s="44" t="s">
        <v>158</v>
      </c>
      <c r="C14" s="49" t="s">
        <v>548</v>
      </c>
      <c r="D14" s="50" t="s">
        <v>549</v>
      </c>
      <c r="E14" s="50" t="s">
        <v>550</v>
      </c>
      <c r="F14" s="50"/>
    </row>
    <row r="15" spans="2:6" ht="28.15" customHeight="1" x14ac:dyDescent="0.25">
      <c r="B15" s="51" t="s">
        <v>159</v>
      </c>
      <c r="C15" s="19" t="s">
        <v>551</v>
      </c>
      <c r="D15" s="50" t="s">
        <v>549</v>
      </c>
      <c r="E15" s="50" t="s">
        <v>552</v>
      </c>
      <c r="F15" s="50"/>
    </row>
    <row r="16" spans="2:6" ht="28.15" customHeight="1" x14ac:dyDescent="0.25">
      <c r="B16" s="44" t="s">
        <v>160</v>
      </c>
      <c r="C16" s="49" t="s">
        <v>553</v>
      </c>
      <c r="D16" s="50" t="s">
        <v>554</v>
      </c>
      <c r="E16" s="50" t="s">
        <v>555</v>
      </c>
      <c r="F16" s="50"/>
    </row>
    <row r="17" spans="2:6" ht="28.15" customHeight="1" x14ac:dyDescent="0.25">
      <c r="B17" s="51" t="s">
        <v>161</v>
      </c>
      <c r="C17" s="19" t="s">
        <v>162</v>
      </c>
      <c r="D17" s="50" t="s">
        <v>554</v>
      </c>
      <c r="E17" s="50" t="s">
        <v>556</v>
      </c>
      <c r="F17" s="50"/>
    </row>
    <row r="18" spans="2:6" ht="28.15" customHeight="1" x14ac:dyDescent="0.25">
      <c r="B18" s="44" t="s">
        <v>163</v>
      </c>
      <c r="C18" s="49" t="s">
        <v>164</v>
      </c>
      <c r="D18" s="50" t="s">
        <v>554</v>
      </c>
      <c r="E18" s="50" t="s">
        <v>557</v>
      </c>
      <c r="F18" s="50"/>
    </row>
    <row r="19" spans="2:6" ht="24" customHeight="1" x14ac:dyDescent="0.25">
      <c r="B19" s="125" t="s">
        <v>165</v>
      </c>
      <c r="C19" s="111"/>
      <c r="D19" s="111"/>
      <c r="E19" s="52"/>
      <c r="F19" s="129" t="s">
        <v>166</v>
      </c>
    </row>
    <row r="20" spans="2:6" ht="10.15" customHeight="1" x14ac:dyDescent="0.25"/>
    <row r="21" spans="2:6" ht="16.149999999999999" customHeight="1" x14ac:dyDescent="0.25">
      <c r="B21" s="110" t="s">
        <v>167</v>
      </c>
      <c r="C21" s="111"/>
      <c r="D21" s="111"/>
      <c r="E21" s="111"/>
      <c r="F21" s="111"/>
    </row>
    <row r="22" spans="2:6" ht="19.899999999999999" customHeight="1" x14ac:dyDescent="0.25"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156</v>
      </c>
    </row>
    <row r="23" spans="2:6" ht="24" customHeight="1" x14ac:dyDescent="0.25">
      <c r="B23" s="44" t="s">
        <v>172</v>
      </c>
      <c r="C23" s="49" t="s">
        <v>173</v>
      </c>
      <c r="D23" s="25" t="s">
        <v>558</v>
      </c>
      <c r="E23" s="49" t="s">
        <v>174</v>
      </c>
      <c r="F23" s="25"/>
    </row>
    <row r="24" spans="2:6" ht="24" customHeight="1" x14ac:dyDescent="0.25">
      <c r="B24" s="51" t="s">
        <v>175</v>
      </c>
      <c r="C24" s="19" t="s">
        <v>176</v>
      </c>
      <c r="D24" s="25" t="s">
        <v>559</v>
      </c>
      <c r="E24" s="19" t="s">
        <v>177</v>
      </c>
      <c r="F24" s="25" t="s">
        <v>560</v>
      </c>
    </row>
    <row r="25" spans="2:6" ht="24" customHeight="1" x14ac:dyDescent="0.25">
      <c r="B25" s="44" t="s">
        <v>178</v>
      </c>
      <c r="C25" s="49" t="s">
        <v>179</v>
      </c>
      <c r="D25" s="25" t="s">
        <v>561</v>
      </c>
      <c r="E25" s="49" t="s">
        <v>180</v>
      </c>
      <c r="F25" s="25"/>
    </row>
    <row r="26" spans="2:6" ht="24" customHeight="1" x14ac:dyDescent="0.25">
      <c r="B26" s="51" t="s">
        <v>181</v>
      </c>
      <c r="C26" s="19" t="s">
        <v>182</v>
      </c>
      <c r="D26" s="25" t="s">
        <v>562</v>
      </c>
      <c r="E26" s="19" t="s">
        <v>183</v>
      </c>
      <c r="F26" s="25"/>
    </row>
    <row r="27" spans="2:6" ht="24" customHeight="1" x14ac:dyDescent="0.25">
      <c r="B27" s="44" t="s">
        <v>184</v>
      </c>
      <c r="C27" s="49" t="s">
        <v>185</v>
      </c>
      <c r="D27" s="25" t="s">
        <v>563</v>
      </c>
      <c r="E27" s="49" t="s">
        <v>186</v>
      </c>
      <c r="F27" s="25"/>
    </row>
    <row r="28" spans="2:6" ht="24" customHeight="1" x14ac:dyDescent="0.25">
      <c r="B28" s="51" t="s">
        <v>187</v>
      </c>
      <c r="C28" s="19" t="s">
        <v>188</v>
      </c>
      <c r="D28" s="25" t="s">
        <v>564</v>
      </c>
      <c r="E28" s="19" t="s">
        <v>189</v>
      </c>
      <c r="F28" s="25"/>
    </row>
    <row r="29" spans="2:6" ht="24" customHeight="1" x14ac:dyDescent="0.25">
      <c r="B29" s="125" t="s">
        <v>190</v>
      </c>
      <c r="C29" s="111"/>
      <c r="D29" s="111"/>
      <c r="E29" s="52"/>
      <c r="F29" s="50" t="s">
        <v>166</v>
      </c>
    </row>
    <row r="30" spans="2:6" ht="10.15" customHeight="1" x14ac:dyDescent="0.25"/>
    <row r="31" spans="2:6" ht="16.149999999999999" customHeight="1" x14ac:dyDescent="0.25">
      <c r="B31" s="110" t="s">
        <v>191</v>
      </c>
      <c r="C31" s="111"/>
      <c r="D31" s="111"/>
      <c r="E31" s="111"/>
      <c r="F31" s="111"/>
    </row>
    <row r="32" spans="2:6" ht="19.899999999999999" customHeight="1" x14ac:dyDescent="0.25">
      <c r="B32" s="1" t="s">
        <v>192</v>
      </c>
      <c r="C32" s="1" t="s">
        <v>193</v>
      </c>
      <c r="D32" s="1" t="s">
        <v>194</v>
      </c>
      <c r="E32" s="1" t="s">
        <v>195</v>
      </c>
      <c r="F32" s="1" t="s">
        <v>156</v>
      </c>
    </row>
    <row r="33" spans="2:9" ht="24" customHeight="1" x14ac:dyDescent="0.25">
      <c r="B33" s="44" t="s">
        <v>196</v>
      </c>
      <c r="C33" s="49" t="s">
        <v>197</v>
      </c>
      <c r="D33" s="108" t="s">
        <v>565</v>
      </c>
      <c r="E33" s="25"/>
      <c r="F33" s="25"/>
    </row>
    <row r="34" spans="2:9" ht="24" customHeight="1" x14ac:dyDescent="0.25">
      <c r="B34" s="51" t="s">
        <v>198</v>
      </c>
      <c r="C34" s="109" t="s">
        <v>199</v>
      </c>
      <c r="D34" s="25" t="s">
        <v>566</v>
      </c>
      <c r="E34" s="25"/>
      <c r="F34" s="25"/>
      <c r="I34" t="s">
        <v>567</v>
      </c>
    </row>
    <row r="35" spans="2:9" ht="24" customHeight="1" x14ac:dyDescent="0.25">
      <c r="B35" s="44" t="s">
        <v>200</v>
      </c>
      <c r="C35" s="49" t="s">
        <v>201</v>
      </c>
      <c r="D35" s="25"/>
      <c r="E35" s="25"/>
      <c r="F35" s="25"/>
    </row>
    <row r="36" spans="2:9" ht="24" customHeight="1" x14ac:dyDescent="0.25">
      <c r="B36" s="51" t="s">
        <v>202</v>
      </c>
      <c r="C36" s="19" t="s">
        <v>203</v>
      </c>
      <c r="D36" s="25"/>
      <c r="E36" s="25"/>
      <c r="F36" s="25"/>
    </row>
    <row r="37" spans="2:9" ht="24" customHeight="1" x14ac:dyDescent="0.25">
      <c r="B37" s="44" t="s">
        <v>204</v>
      </c>
      <c r="C37" s="49" t="s">
        <v>205</v>
      </c>
      <c r="D37" s="25"/>
      <c r="E37" s="25"/>
      <c r="F37" s="25"/>
    </row>
    <row r="38" spans="2:9" ht="24" customHeight="1" x14ac:dyDescent="0.25">
      <c r="B38" s="51" t="s">
        <v>206</v>
      </c>
      <c r="C38" s="19" t="s">
        <v>207</v>
      </c>
      <c r="D38" s="25"/>
      <c r="E38" s="25"/>
      <c r="F38" s="25"/>
    </row>
    <row r="39" spans="2:9" ht="24" customHeight="1" x14ac:dyDescent="0.25">
      <c r="B39" s="44" t="s">
        <v>208</v>
      </c>
      <c r="C39" s="49" t="s">
        <v>209</v>
      </c>
      <c r="D39" s="25"/>
      <c r="E39" s="25"/>
      <c r="F39" s="25"/>
    </row>
    <row r="40" spans="2:9" ht="24" customHeight="1" x14ac:dyDescent="0.25">
      <c r="B40" s="125" t="s">
        <v>210</v>
      </c>
      <c r="C40" s="111"/>
      <c r="D40" s="111"/>
      <c r="E40" s="52"/>
      <c r="F40" s="50" t="s">
        <v>166</v>
      </c>
    </row>
    <row r="41" spans="2:9" ht="10.15" customHeight="1" x14ac:dyDescent="0.25"/>
    <row r="42" spans="2:9" ht="16.149999999999999" customHeight="1" x14ac:dyDescent="0.25">
      <c r="B42" s="110" t="s">
        <v>211</v>
      </c>
      <c r="C42" s="111"/>
      <c r="D42" s="111"/>
      <c r="E42" s="111"/>
      <c r="F42" s="111"/>
    </row>
    <row r="43" spans="2:9" ht="19.899999999999999" customHeight="1" x14ac:dyDescent="0.25">
      <c r="B43" s="1" t="s">
        <v>55</v>
      </c>
      <c r="C43" s="1" t="s">
        <v>212</v>
      </c>
      <c r="D43" s="1" t="s">
        <v>213</v>
      </c>
      <c r="E43" s="1" t="s">
        <v>214</v>
      </c>
      <c r="F43" s="1" t="s">
        <v>215</v>
      </c>
    </row>
    <row r="44" spans="2:9" ht="24" customHeight="1" x14ac:dyDescent="0.25">
      <c r="B44" s="44" t="s">
        <v>216</v>
      </c>
      <c r="C44" s="49" t="s">
        <v>217</v>
      </c>
      <c r="D44" s="25"/>
      <c r="E44" s="25"/>
      <c r="F44" s="25"/>
    </row>
    <row r="45" spans="2:9" ht="24" customHeight="1" x14ac:dyDescent="0.25">
      <c r="B45" s="51" t="s">
        <v>218</v>
      </c>
      <c r="C45" s="19" t="s">
        <v>219</v>
      </c>
      <c r="D45" s="25"/>
      <c r="E45" s="25"/>
      <c r="F45" s="25"/>
    </row>
    <row r="46" spans="2:9" ht="24" customHeight="1" x14ac:dyDescent="0.25">
      <c r="B46" s="44" t="s">
        <v>220</v>
      </c>
      <c r="C46" s="49" t="s">
        <v>221</v>
      </c>
      <c r="D46" s="25"/>
      <c r="E46" s="25"/>
      <c r="F46" s="25"/>
    </row>
    <row r="47" spans="2:9" ht="24" customHeight="1" x14ac:dyDescent="0.25">
      <c r="B47" s="51" t="s">
        <v>222</v>
      </c>
      <c r="C47" s="19" t="s">
        <v>223</v>
      </c>
      <c r="D47" s="25"/>
      <c r="E47" s="25"/>
      <c r="F47" s="25"/>
    </row>
    <row r="48" spans="2:9" ht="24" customHeight="1" x14ac:dyDescent="0.25">
      <c r="B48" s="44" t="s">
        <v>224</v>
      </c>
      <c r="C48" s="49" t="s">
        <v>225</v>
      </c>
      <c r="D48" s="25"/>
      <c r="E48" s="25"/>
      <c r="F48" s="25"/>
    </row>
    <row r="49" spans="2:6" ht="16.149999999999999" customHeight="1" x14ac:dyDescent="0.25">
      <c r="B49" s="110" t="s">
        <v>226</v>
      </c>
      <c r="C49" s="111"/>
      <c r="D49" s="111"/>
      <c r="E49" s="111"/>
      <c r="F49" s="111"/>
    </row>
    <row r="50" spans="2:6" ht="18" customHeight="1" x14ac:dyDescent="0.25">
      <c r="B50" s="17" t="s">
        <v>227</v>
      </c>
      <c r="C50" s="17" t="s">
        <v>228</v>
      </c>
      <c r="D50" s="17" t="s">
        <v>137</v>
      </c>
      <c r="E50" s="17" t="s">
        <v>229</v>
      </c>
      <c r="F50" s="17" t="s">
        <v>230</v>
      </c>
    </row>
    <row r="51" spans="2:6" ht="22.15" customHeight="1" x14ac:dyDescent="0.25">
      <c r="B51" s="44" t="s">
        <v>231</v>
      </c>
      <c r="C51" s="49" t="s">
        <v>232</v>
      </c>
      <c r="D51" s="25"/>
      <c r="E51" s="25"/>
      <c r="F51" s="25"/>
    </row>
    <row r="52" spans="2:6" ht="22.15" customHeight="1" x14ac:dyDescent="0.25">
      <c r="B52" s="51" t="s">
        <v>233</v>
      </c>
      <c r="C52" s="19" t="s">
        <v>234</v>
      </c>
      <c r="D52" s="25"/>
      <c r="E52" s="25"/>
      <c r="F52" s="25"/>
    </row>
    <row r="53" spans="2:6" ht="22.15" customHeight="1" x14ac:dyDescent="0.25">
      <c r="B53" s="44" t="s">
        <v>235</v>
      </c>
      <c r="C53" s="49" t="s">
        <v>236</v>
      </c>
      <c r="D53" s="25"/>
      <c r="E53" s="25"/>
      <c r="F53" s="25"/>
    </row>
    <row r="54" spans="2:6" ht="22.15" customHeight="1" x14ac:dyDescent="0.25">
      <c r="B54" s="51" t="s">
        <v>237</v>
      </c>
      <c r="C54" s="19" t="s">
        <v>238</v>
      </c>
      <c r="D54" s="25"/>
      <c r="E54" s="25"/>
      <c r="F54" s="25"/>
    </row>
    <row r="55" spans="2:6" ht="24" customHeight="1" x14ac:dyDescent="0.25">
      <c r="B55" s="125" t="s">
        <v>239</v>
      </c>
      <c r="C55" s="111"/>
      <c r="D55" s="111"/>
      <c r="E55" s="52"/>
      <c r="F55" s="50" t="s">
        <v>166</v>
      </c>
    </row>
  </sheetData>
  <mergeCells count="19">
    <mergeCell ref="B19:D19"/>
    <mergeCell ref="B1:F1"/>
    <mergeCell ref="C5:F5"/>
    <mergeCell ref="B55:D55"/>
    <mergeCell ref="C10:F10"/>
    <mergeCell ref="B49:F49"/>
    <mergeCell ref="C9:F9"/>
    <mergeCell ref="B2:F2"/>
    <mergeCell ref="B42:F42"/>
    <mergeCell ref="C6:F6"/>
    <mergeCell ref="B40:D40"/>
    <mergeCell ref="F19"/>
    <mergeCell ref="B4:F4"/>
    <mergeCell ref="C8:F8"/>
    <mergeCell ref="C7:F7"/>
    <mergeCell ref="B31:F31"/>
    <mergeCell ref="B29:D29"/>
    <mergeCell ref="B21:F21"/>
    <mergeCell ref="B12:F12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9"/>
  <sheetViews>
    <sheetView showGridLines="0" workbookViewId="0">
      <selection activeCell="C9" sqref="C9:F9"/>
    </sheetView>
  </sheetViews>
  <sheetFormatPr defaultRowHeight="15" x14ac:dyDescent="0.25"/>
  <cols>
    <col min="1" max="1" width="3" customWidth="1"/>
    <col min="2" max="2" width="25" customWidth="1"/>
    <col min="3" max="4" width="8" customWidth="1"/>
    <col min="5" max="5" width="44" customWidth="1"/>
    <col min="6" max="6" width="10" customWidth="1"/>
    <col min="7" max="7" width="5" customWidth="1"/>
  </cols>
  <sheetData>
    <row r="1" spans="2:6" ht="31.9" customHeight="1" x14ac:dyDescent="0.25">
      <c r="B1" s="123" t="s">
        <v>240</v>
      </c>
      <c r="C1" s="111"/>
      <c r="D1" s="111"/>
      <c r="E1" s="111"/>
      <c r="F1" s="111"/>
    </row>
    <row r="2" spans="2:6" ht="18" customHeight="1" x14ac:dyDescent="0.25">
      <c r="B2" s="124" t="s">
        <v>241</v>
      </c>
      <c r="C2" s="111"/>
      <c r="D2" s="111"/>
      <c r="E2" s="111"/>
      <c r="F2" s="111"/>
    </row>
    <row r="3" spans="2:6" ht="7.9" customHeight="1" x14ac:dyDescent="0.25"/>
    <row r="4" spans="2:6" ht="16.149999999999999" customHeight="1" x14ac:dyDescent="0.25">
      <c r="B4" s="110" t="s">
        <v>242</v>
      </c>
      <c r="C4" s="111"/>
      <c r="D4" s="111"/>
      <c r="E4" s="111"/>
      <c r="F4" s="111"/>
    </row>
    <row r="5" spans="2:6" ht="18" customHeight="1" x14ac:dyDescent="0.25">
      <c r="B5" s="2" t="s">
        <v>47</v>
      </c>
      <c r="C5" s="128" t="s">
        <v>540</v>
      </c>
      <c r="D5" s="111"/>
      <c r="E5" s="111"/>
      <c r="F5" s="111"/>
    </row>
    <row r="6" spans="2:6" ht="18" customHeight="1" x14ac:dyDescent="0.25">
      <c r="B6" s="2" t="s">
        <v>243</v>
      </c>
      <c r="C6" s="128" t="s">
        <v>541</v>
      </c>
      <c r="D6" s="111"/>
      <c r="E6" s="111"/>
      <c r="F6" s="111"/>
    </row>
    <row r="7" spans="2:6" ht="18" customHeight="1" x14ac:dyDescent="0.25">
      <c r="B7" s="2" t="s">
        <v>100</v>
      </c>
      <c r="C7" s="128" t="s">
        <v>542</v>
      </c>
      <c r="D7" s="111"/>
      <c r="E7" s="111"/>
      <c r="F7" s="111"/>
    </row>
    <row r="8" spans="2:6" ht="18" customHeight="1" x14ac:dyDescent="0.25">
      <c r="B8" s="2" t="s">
        <v>8</v>
      </c>
      <c r="C8" s="128" t="s">
        <v>543</v>
      </c>
      <c r="D8" s="111"/>
      <c r="E8" s="111"/>
      <c r="F8" s="111"/>
    </row>
    <row r="9" spans="2:6" ht="18" customHeight="1" x14ac:dyDescent="0.25">
      <c r="B9" s="2" t="s">
        <v>244</v>
      </c>
      <c r="C9" s="127">
        <v>46128</v>
      </c>
      <c r="D9" s="111"/>
      <c r="E9" s="111"/>
      <c r="F9" s="111"/>
    </row>
    <row r="10" spans="2:6" ht="7.9" customHeight="1" x14ac:dyDescent="0.25"/>
    <row r="11" spans="2:6" ht="16.149999999999999" customHeight="1" x14ac:dyDescent="0.25">
      <c r="B11" s="110" t="s">
        <v>245</v>
      </c>
      <c r="C11" s="111"/>
      <c r="D11" s="111"/>
      <c r="E11" s="111"/>
      <c r="F11" s="111"/>
    </row>
    <row r="12" spans="2:6" ht="30" customHeight="1" x14ac:dyDescent="0.25">
      <c r="B12" s="18" t="s">
        <v>246</v>
      </c>
      <c r="C12" s="18" t="s">
        <v>247</v>
      </c>
      <c r="D12" s="18" t="s">
        <v>112</v>
      </c>
      <c r="E12" s="18" t="s">
        <v>248</v>
      </c>
      <c r="F12" s="18" t="s">
        <v>249</v>
      </c>
    </row>
    <row r="13" spans="2:6" ht="70.150000000000006" customHeight="1" x14ac:dyDescent="0.25">
      <c r="B13" s="53" t="s">
        <v>115</v>
      </c>
      <c r="C13" s="54"/>
      <c r="D13" s="46" t="s">
        <v>116</v>
      </c>
      <c r="E13" s="55" t="s">
        <v>250</v>
      </c>
      <c r="F13" s="47">
        <f>C13*0.15</f>
        <v>0</v>
      </c>
    </row>
    <row r="14" spans="2:6" ht="70.150000000000006" customHeight="1" x14ac:dyDescent="0.25">
      <c r="B14" s="56" t="s">
        <v>118</v>
      </c>
      <c r="C14" s="54"/>
      <c r="D14" s="57" t="s">
        <v>119</v>
      </c>
      <c r="E14" s="55" t="s">
        <v>251</v>
      </c>
      <c r="F14" s="58">
        <f>C14*0.12</f>
        <v>0</v>
      </c>
    </row>
    <row r="15" spans="2:6" ht="70.150000000000006" customHeight="1" x14ac:dyDescent="0.25">
      <c r="B15" s="53" t="s">
        <v>121</v>
      </c>
      <c r="C15" s="54"/>
      <c r="D15" s="46" t="s">
        <v>122</v>
      </c>
      <c r="E15" s="55" t="s">
        <v>252</v>
      </c>
      <c r="F15" s="47">
        <f>C15*0.1</f>
        <v>0</v>
      </c>
    </row>
    <row r="16" spans="2:6" ht="70.150000000000006" customHeight="1" x14ac:dyDescent="0.25">
      <c r="B16" s="56" t="s">
        <v>124</v>
      </c>
      <c r="C16" s="54"/>
      <c r="D16" s="57" t="s">
        <v>116</v>
      </c>
      <c r="E16" s="55" t="s">
        <v>253</v>
      </c>
      <c r="F16" s="58">
        <f>C16*0.15</f>
        <v>0</v>
      </c>
    </row>
    <row r="17" spans="2:6" ht="70.150000000000006" customHeight="1" x14ac:dyDescent="0.25">
      <c r="B17" s="53" t="s">
        <v>126</v>
      </c>
      <c r="C17" s="54"/>
      <c r="D17" s="46" t="s">
        <v>116</v>
      </c>
      <c r="E17" s="55" t="s">
        <v>254</v>
      </c>
      <c r="F17" s="47">
        <f>C17*0.15</f>
        <v>0</v>
      </c>
    </row>
    <row r="18" spans="2:6" ht="70.150000000000006" customHeight="1" x14ac:dyDescent="0.25">
      <c r="B18" s="56" t="s">
        <v>128</v>
      </c>
      <c r="C18" s="54"/>
      <c r="D18" s="57" t="s">
        <v>116</v>
      </c>
      <c r="E18" s="55" t="s">
        <v>255</v>
      </c>
      <c r="F18" s="58">
        <f>C18*0.15</f>
        <v>0</v>
      </c>
    </row>
    <row r="19" spans="2:6" ht="70.150000000000006" customHeight="1" x14ac:dyDescent="0.25">
      <c r="B19" s="53" t="s">
        <v>130</v>
      </c>
      <c r="C19" s="54"/>
      <c r="D19" s="46" t="s">
        <v>131</v>
      </c>
      <c r="E19" s="55" t="s">
        <v>256</v>
      </c>
      <c r="F19" s="47">
        <f>C19*0.08</f>
        <v>0</v>
      </c>
    </row>
    <row r="20" spans="2:6" ht="70.150000000000006" customHeight="1" x14ac:dyDescent="0.25">
      <c r="B20" s="56" t="s">
        <v>133</v>
      </c>
      <c r="C20" s="54"/>
      <c r="D20" s="57" t="s">
        <v>122</v>
      </c>
      <c r="E20" s="55" t="s">
        <v>257</v>
      </c>
      <c r="F20" s="58">
        <f>C20*0.1</f>
        <v>0</v>
      </c>
    </row>
    <row r="21" spans="2:6" ht="25.9" customHeight="1" x14ac:dyDescent="0.25">
      <c r="B21" s="122" t="s">
        <v>258</v>
      </c>
      <c r="C21" s="111"/>
      <c r="D21" s="111"/>
      <c r="E21" s="111"/>
      <c r="F21" s="48">
        <f>SUM(F13:F20)</f>
        <v>0</v>
      </c>
    </row>
    <row r="22" spans="2:6" ht="10.15" customHeight="1" x14ac:dyDescent="0.25"/>
    <row r="23" spans="2:6" ht="16.149999999999999" customHeight="1" x14ac:dyDescent="0.25">
      <c r="B23" s="110" t="s">
        <v>259</v>
      </c>
      <c r="C23" s="111"/>
      <c r="D23" s="111"/>
      <c r="E23" s="111"/>
      <c r="F23" s="111"/>
    </row>
    <row r="24" spans="2:6" ht="18" customHeight="1" x14ac:dyDescent="0.25">
      <c r="B24" s="119" t="s">
        <v>260</v>
      </c>
      <c r="C24" s="17" t="s">
        <v>261</v>
      </c>
      <c r="D24" s="119"/>
      <c r="E24" s="120"/>
      <c r="F24" s="17"/>
    </row>
    <row r="25" spans="2:6" ht="24" customHeight="1" x14ac:dyDescent="0.25">
      <c r="B25" s="59" t="s">
        <v>262</v>
      </c>
      <c r="C25" s="130" t="s">
        <v>263</v>
      </c>
      <c r="D25" s="111"/>
      <c r="E25" s="60"/>
      <c r="F25" s="61" t="s">
        <v>264</v>
      </c>
    </row>
    <row r="26" spans="2:6" ht="24" customHeight="1" x14ac:dyDescent="0.25">
      <c r="B26" s="62" t="s">
        <v>265</v>
      </c>
      <c r="C26" s="118" t="s">
        <v>266</v>
      </c>
      <c r="D26" s="111"/>
      <c r="E26" s="60"/>
      <c r="F26" s="61" t="s">
        <v>267</v>
      </c>
    </row>
    <row r="27" spans="2:6" ht="24" customHeight="1" x14ac:dyDescent="0.25">
      <c r="B27" s="59" t="s">
        <v>268</v>
      </c>
      <c r="C27" s="130" t="s">
        <v>269</v>
      </c>
      <c r="D27" s="111"/>
      <c r="E27" s="60"/>
      <c r="F27" s="61" t="s">
        <v>270</v>
      </c>
    </row>
    <row r="28" spans="2:6" ht="24" customHeight="1" x14ac:dyDescent="0.25">
      <c r="B28" s="62" t="s">
        <v>271</v>
      </c>
      <c r="C28" s="118" t="s">
        <v>272</v>
      </c>
      <c r="D28" s="111"/>
      <c r="E28" s="60"/>
      <c r="F28" s="61" t="s">
        <v>273</v>
      </c>
    </row>
    <row r="29" spans="2:6" ht="24" customHeight="1" x14ac:dyDescent="0.25">
      <c r="B29" s="59" t="s">
        <v>274</v>
      </c>
      <c r="C29" s="130" t="s">
        <v>275</v>
      </c>
      <c r="D29" s="111"/>
      <c r="E29" s="60"/>
      <c r="F29" s="61" t="s">
        <v>276</v>
      </c>
    </row>
  </sheetData>
  <mergeCells count="18">
    <mergeCell ref="C29:D29"/>
    <mergeCell ref="D24:E24"/>
    <mergeCell ref="B2:F2"/>
    <mergeCell ref="C8:F8"/>
    <mergeCell ref="C25:D25"/>
    <mergeCell ref="B11:F11"/>
    <mergeCell ref="C27:D27"/>
    <mergeCell ref="B21:E21"/>
    <mergeCell ref="C6:F6"/>
    <mergeCell ref="C7:F7"/>
    <mergeCell ref="B24"/>
    <mergeCell ref="C28:D28"/>
    <mergeCell ref="B23:F23"/>
    <mergeCell ref="B1:F1"/>
    <mergeCell ref="C5:F5"/>
    <mergeCell ref="C26:D26"/>
    <mergeCell ref="B4:F4"/>
    <mergeCell ref="C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9"/>
  <sheetViews>
    <sheetView showGridLines="0" tabSelected="1" workbookViewId="0">
      <selection activeCell="C9" sqref="C9:F9"/>
    </sheetView>
  </sheetViews>
  <sheetFormatPr defaultRowHeight="15" x14ac:dyDescent="0.25"/>
  <cols>
    <col min="1" max="1" width="3" customWidth="1"/>
    <col min="2" max="2" width="25" customWidth="1"/>
    <col min="3" max="4" width="8" customWidth="1"/>
    <col min="5" max="5" width="44" customWidth="1"/>
    <col min="6" max="6" width="10" customWidth="1"/>
    <col min="7" max="7" width="5" customWidth="1"/>
  </cols>
  <sheetData>
    <row r="1" spans="2:6" ht="31.9" customHeight="1" x14ac:dyDescent="0.25">
      <c r="B1" s="123" t="s">
        <v>277</v>
      </c>
      <c r="C1" s="111"/>
      <c r="D1" s="111"/>
      <c r="E1" s="111"/>
      <c r="F1" s="111"/>
    </row>
    <row r="2" spans="2:6" ht="18" customHeight="1" x14ac:dyDescent="0.25">
      <c r="B2" s="131" t="s">
        <v>241</v>
      </c>
      <c r="C2" s="111"/>
      <c r="D2" s="111"/>
      <c r="E2" s="111"/>
      <c r="F2" s="111"/>
    </row>
    <row r="3" spans="2:6" ht="7.9" customHeight="1" x14ac:dyDescent="0.25"/>
    <row r="4" spans="2:6" ht="16.149999999999999" customHeight="1" x14ac:dyDescent="0.25">
      <c r="B4" s="110" t="s">
        <v>242</v>
      </c>
      <c r="C4" s="111"/>
      <c r="D4" s="111"/>
      <c r="E4" s="111"/>
      <c r="F4" s="111"/>
    </row>
    <row r="5" spans="2:6" ht="18" customHeight="1" x14ac:dyDescent="0.25">
      <c r="B5" s="2" t="s">
        <v>47</v>
      </c>
      <c r="C5" s="128" t="s">
        <v>545</v>
      </c>
      <c r="D5" s="111"/>
      <c r="E5" s="111"/>
      <c r="F5" s="111"/>
    </row>
    <row r="6" spans="2:6" ht="18" customHeight="1" x14ac:dyDescent="0.25">
      <c r="B6" s="2" t="s">
        <v>243</v>
      </c>
      <c r="C6" s="128" t="s">
        <v>546</v>
      </c>
      <c r="D6" s="111"/>
      <c r="E6" s="111"/>
      <c r="F6" s="111"/>
    </row>
    <row r="7" spans="2:6" ht="18" customHeight="1" x14ac:dyDescent="0.25">
      <c r="B7" s="2" t="s">
        <v>100</v>
      </c>
      <c r="C7" s="128" t="s">
        <v>547</v>
      </c>
      <c r="D7" s="111"/>
      <c r="E7" s="111"/>
      <c r="F7" s="111"/>
    </row>
    <row r="8" spans="2:6" ht="18" customHeight="1" x14ac:dyDescent="0.25">
      <c r="B8" s="2" t="s">
        <v>8</v>
      </c>
      <c r="C8" s="128" t="s">
        <v>546</v>
      </c>
      <c r="D8" s="111"/>
      <c r="E8" s="111"/>
      <c r="F8" s="111"/>
    </row>
    <row r="9" spans="2:6" ht="18" customHeight="1" x14ac:dyDescent="0.25">
      <c r="B9" s="2" t="s">
        <v>244</v>
      </c>
      <c r="C9" s="127">
        <v>46138</v>
      </c>
      <c r="D9" s="111"/>
      <c r="E9" s="111"/>
      <c r="F9" s="111"/>
    </row>
    <row r="10" spans="2:6" ht="7.9" customHeight="1" x14ac:dyDescent="0.25"/>
    <row r="11" spans="2:6" ht="16.149999999999999" customHeight="1" x14ac:dyDescent="0.25">
      <c r="B11" s="110" t="s">
        <v>245</v>
      </c>
      <c r="C11" s="111"/>
      <c r="D11" s="111"/>
      <c r="E11" s="111"/>
      <c r="F11" s="111"/>
    </row>
    <row r="12" spans="2:6" ht="30" customHeight="1" x14ac:dyDescent="0.25">
      <c r="B12" s="18" t="s">
        <v>246</v>
      </c>
      <c r="C12" s="18" t="s">
        <v>247</v>
      </c>
      <c r="D12" s="18" t="s">
        <v>112</v>
      </c>
      <c r="E12" s="18" t="s">
        <v>248</v>
      </c>
      <c r="F12" s="18" t="s">
        <v>249</v>
      </c>
    </row>
    <row r="13" spans="2:6" ht="70.150000000000006" customHeight="1" x14ac:dyDescent="0.25">
      <c r="B13" s="53" t="s">
        <v>115</v>
      </c>
      <c r="C13" s="54"/>
      <c r="D13" s="46" t="s">
        <v>116</v>
      </c>
      <c r="E13" s="55" t="s">
        <v>250</v>
      </c>
      <c r="F13" s="47">
        <f>C13*0.15</f>
        <v>0</v>
      </c>
    </row>
    <row r="14" spans="2:6" ht="70.150000000000006" customHeight="1" x14ac:dyDescent="0.25">
      <c r="B14" s="56" t="s">
        <v>118</v>
      </c>
      <c r="C14" s="54"/>
      <c r="D14" s="57" t="s">
        <v>119</v>
      </c>
      <c r="E14" s="55" t="s">
        <v>251</v>
      </c>
      <c r="F14" s="58">
        <f>C14*0.12</f>
        <v>0</v>
      </c>
    </row>
    <row r="15" spans="2:6" ht="70.150000000000006" customHeight="1" x14ac:dyDescent="0.25">
      <c r="B15" s="53" t="s">
        <v>121</v>
      </c>
      <c r="C15" s="54"/>
      <c r="D15" s="46" t="s">
        <v>122</v>
      </c>
      <c r="E15" s="55" t="s">
        <v>252</v>
      </c>
      <c r="F15" s="47">
        <f>C15*0.1</f>
        <v>0</v>
      </c>
    </row>
    <row r="16" spans="2:6" ht="70.150000000000006" customHeight="1" x14ac:dyDescent="0.25">
      <c r="B16" s="56" t="s">
        <v>124</v>
      </c>
      <c r="C16" s="54"/>
      <c r="D16" s="57" t="s">
        <v>116</v>
      </c>
      <c r="E16" s="55" t="s">
        <v>253</v>
      </c>
      <c r="F16" s="58">
        <f>C16*0.15</f>
        <v>0</v>
      </c>
    </row>
    <row r="17" spans="2:6" ht="70.150000000000006" customHeight="1" x14ac:dyDescent="0.25">
      <c r="B17" s="53" t="s">
        <v>126</v>
      </c>
      <c r="C17" s="54"/>
      <c r="D17" s="46" t="s">
        <v>116</v>
      </c>
      <c r="E17" s="55" t="s">
        <v>254</v>
      </c>
      <c r="F17" s="47">
        <f>C17*0.15</f>
        <v>0</v>
      </c>
    </row>
    <row r="18" spans="2:6" ht="70.150000000000006" customHeight="1" x14ac:dyDescent="0.25">
      <c r="B18" s="56" t="s">
        <v>128</v>
      </c>
      <c r="C18" s="54"/>
      <c r="D18" s="57" t="s">
        <v>116</v>
      </c>
      <c r="E18" s="55" t="s">
        <v>255</v>
      </c>
      <c r="F18" s="58">
        <f>C18*0.15</f>
        <v>0</v>
      </c>
    </row>
    <row r="19" spans="2:6" ht="70.150000000000006" customHeight="1" x14ac:dyDescent="0.25">
      <c r="B19" s="53" t="s">
        <v>130</v>
      </c>
      <c r="C19" s="54"/>
      <c r="D19" s="46" t="s">
        <v>131</v>
      </c>
      <c r="E19" s="55" t="s">
        <v>256</v>
      </c>
      <c r="F19" s="47">
        <f>C19*0.08</f>
        <v>0</v>
      </c>
    </row>
    <row r="20" spans="2:6" ht="70.150000000000006" customHeight="1" x14ac:dyDescent="0.25">
      <c r="B20" s="56" t="s">
        <v>133</v>
      </c>
      <c r="C20" s="54"/>
      <c r="D20" s="57" t="s">
        <v>122</v>
      </c>
      <c r="E20" s="55" t="s">
        <v>257</v>
      </c>
      <c r="F20" s="58">
        <f>C20*0.1</f>
        <v>0</v>
      </c>
    </row>
    <row r="21" spans="2:6" ht="25.9" customHeight="1" x14ac:dyDescent="0.25">
      <c r="B21" s="122" t="s">
        <v>258</v>
      </c>
      <c r="C21" s="111"/>
      <c r="D21" s="111"/>
      <c r="E21" s="111"/>
      <c r="F21" s="48">
        <f>SUM(F13:F20)</f>
        <v>0</v>
      </c>
    </row>
    <row r="22" spans="2:6" ht="10.15" customHeight="1" x14ac:dyDescent="0.25"/>
    <row r="23" spans="2:6" ht="16.149999999999999" customHeight="1" x14ac:dyDescent="0.25">
      <c r="B23" s="110" t="s">
        <v>259</v>
      </c>
      <c r="C23" s="111"/>
      <c r="D23" s="111"/>
      <c r="E23" s="111"/>
      <c r="F23" s="111"/>
    </row>
    <row r="24" spans="2:6" ht="18" customHeight="1" x14ac:dyDescent="0.25">
      <c r="B24" s="119" t="s">
        <v>260</v>
      </c>
      <c r="C24" s="17" t="s">
        <v>261</v>
      </c>
      <c r="D24" s="119"/>
      <c r="E24" s="120"/>
      <c r="F24" s="17"/>
    </row>
    <row r="25" spans="2:6" ht="24" customHeight="1" x14ac:dyDescent="0.25">
      <c r="B25" s="59" t="s">
        <v>262</v>
      </c>
      <c r="C25" s="130" t="s">
        <v>263</v>
      </c>
      <c r="D25" s="111"/>
      <c r="E25" s="60"/>
      <c r="F25" s="61" t="s">
        <v>264</v>
      </c>
    </row>
    <row r="26" spans="2:6" ht="24" customHeight="1" x14ac:dyDescent="0.25">
      <c r="B26" s="62" t="s">
        <v>265</v>
      </c>
      <c r="C26" s="118" t="s">
        <v>266</v>
      </c>
      <c r="D26" s="111"/>
      <c r="E26" s="60"/>
      <c r="F26" s="61" t="s">
        <v>267</v>
      </c>
    </row>
    <row r="27" spans="2:6" ht="24" customHeight="1" x14ac:dyDescent="0.25">
      <c r="B27" s="59" t="s">
        <v>268</v>
      </c>
      <c r="C27" s="130" t="s">
        <v>269</v>
      </c>
      <c r="D27" s="111"/>
      <c r="E27" s="60"/>
      <c r="F27" s="61" t="s">
        <v>270</v>
      </c>
    </row>
    <row r="28" spans="2:6" ht="24" customHeight="1" x14ac:dyDescent="0.25">
      <c r="B28" s="62" t="s">
        <v>271</v>
      </c>
      <c r="C28" s="118" t="s">
        <v>272</v>
      </c>
      <c r="D28" s="111"/>
      <c r="E28" s="60"/>
      <c r="F28" s="61" t="s">
        <v>273</v>
      </c>
    </row>
    <row r="29" spans="2:6" ht="24" customHeight="1" x14ac:dyDescent="0.25">
      <c r="B29" s="59" t="s">
        <v>274</v>
      </c>
      <c r="C29" s="130" t="s">
        <v>275</v>
      </c>
      <c r="D29" s="111"/>
      <c r="E29" s="60"/>
      <c r="F29" s="61" t="s">
        <v>276</v>
      </c>
    </row>
  </sheetData>
  <mergeCells count="18">
    <mergeCell ref="C29:D29"/>
    <mergeCell ref="D24:E24"/>
    <mergeCell ref="B2:F2"/>
    <mergeCell ref="C8:F8"/>
    <mergeCell ref="C25:D25"/>
    <mergeCell ref="B11:F11"/>
    <mergeCell ref="C27:D27"/>
    <mergeCell ref="B21:E21"/>
    <mergeCell ref="C6:F6"/>
    <mergeCell ref="C7:F7"/>
    <mergeCell ref="B24"/>
    <mergeCell ref="C28:D28"/>
    <mergeCell ref="B23:F23"/>
    <mergeCell ref="B1:F1"/>
    <mergeCell ref="C5:F5"/>
    <mergeCell ref="C26:D26"/>
    <mergeCell ref="B4:F4"/>
    <mergeCell ref="C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65"/>
  <sheetViews>
    <sheetView showGridLines="0" topLeftCell="A57" workbookViewId="0"/>
  </sheetViews>
  <sheetFormatPr defaultRowHeight="15" x14ac:dyDescent="0.25"/>
  <cols>
    <col min="1" max="1" width="3" customWidth="1"/>
    <col min="2" max="2" width="26" customWidth="1"/>
    <col min="3" max="6" width="10" customWidth="1"/>
    <col min="7" max="7" width="22" customWidth="1"/>
    <col min="8" max="8" width="5" customWidth="1"/>
  </cols>
  <sheetData>
    <row r="1" spans="2:7" ht="31.9" customHeight="1" x14ac:dyDescent="0.25">
      <c r="B1" s="123" t="s">
        <v>278</v>
      </c>
      <c r="C1" s="111"/>
      <c r="D1" s="111"/>
      <c r="E1" s="111"/>
      <c r="F1" s="111"/>
      <c r="G1" s="111"/>
    </row>
    <row r="2" spans="2:7" ht="18" customHeight="1" x14ac:dyDescent="0.25">
      <c r="B2" s="131" t="s">
        <v>279</v>
      </c>
      <c r="C2" s="111"/>
      <c r="D2" s="111"/>
      <c r="E2" s="111"/>
      <c r="F2" s="111"/>
      <c r="G2" s="111"/>
    </row>
    <row r="3" spans="2:7" ht="7.9" customHeight="1" x14ac:dyDescent="0.25"/>
    <row r="4" spans="2:7" ht="16.149999999999999" customHeight="1" x14ac:dyDescent="0.25">
      <c r="B4" s="110" t="s">
        <v>280</v>
      </c>
      <c r="C4" s="111"/>
      <c r="D4" s="111"/>
      <c r="E4" s="111"/>
      <c r="F4" s="111"/>
      <c r="G4" s="111"/>
    </row>
    <row r="5" spans="2:7" ht="16.149999999999999" customHeight="1" x14ac:dyDescent="0.25">
      <c r="B5" s="2"/>
      <c r="C5" s="2" t="s">
        <v>43</v>
      </c>
      <c r="D5" s="2"/>
      <c r="E5" s="2" t="s">
        <v>44</v>
      </c>
      <c r="F5" s="2"/>
      <c r="G5" s="2" t="s">
        <v>281</v>
      </c>
    </row>
    <row r="6" spans="2:7" ht="22.15" customHeight="1" x14ac:dyDescent="0.25">
      <c r="B6" s="63"/>
      <c r="C6" s="63"/>
      <c r="D6" s="63"/>
      <c r="E6" s="63"/>
      <c r="F6" s="63"/>
      <c r="G6" s="63"/>
    </row>
    <row r="7" spans="2:7" ht="7.9" customHeight="1" x14ac:dyDescent="0.25"/>
    <row r="8" spans="2:7" ht="16.149999999999999" customHeight="1" x14ac:dyDescent="0.25">
      <c r="B8" s="110" t="s">
        <v>282</v>
      </c>
      <c r="C8" s="111"/>
      <c r="D8" s="111"/>
      <c r="E8" s="111"/>
      <c r="F8" s="111"/>
      <c r="G8" s="111"/>
    </row>
    <row r="9" spans="2:7" ht="30" customHeight="1" x14ac:dyDescent="0.25">
      <c r="B9" s="18" t="s">
        <v>111</v>
      </c>
      <c r="C9" s="18" t="s">
        <v>112</v>
      </c>
      <c r="D9" s="18" t="s">
        <v>283</v>
      </c>
      <c r="E9" s="18" t="s">
        <v>284</v>
      </c>
      <c r="F9" s="18" t="s">
        <v>285</v>
      </c>
      <c r="G9" s="18" t="s">
        <v>286</v>
      </c>
    </row>
    <row r="10" spans="2:7" ht="22.15" customHeight="1" x14ac:dyDescent="0.25">
      <c r="B10" s="44" t="s">
        <v>115</v>
      </c>
      <c r="C10" s="46" t="s">
        <v>116</v>
      </c>
      <c r="D10" s="64"/>
      <c r="E10" s="64"/>
      <c r="F10" s="65">
        <f t="shared" ref="F10:F17" si="0">ABS(D10-E10)</f>
        <v>0</v>
      </c>
      <c r="G10" s="46" t="str">
        <f t="shared" ref="G10:G17" si="1">IF(D10&gt;E10,"App 1",IF(E10&gt;D10,"App 2","Tied"))</f>
        <v>Tied</v>
      </c>
    </row>
    <row r="11" spans="2:7" ht="22.15" customHeight="1" x14ac:dyDescent="0.25">
      <c r="B11" s="51" t="s">
        <v>118</v>
      </c>
      <c r="C11" s="57" t="s">
        <v>119</v>
      </c>
      <c r="D11" s="64"/>
      <c r="E11" s="64"/>
      <c r="F11" s="66">
        <f t="shared" si="0"/>
        <v>0</v>
      </c>
      <c r="G11" s="57" t="str">
        <f t="shared" si="1"/>
        <v>Tied</v>
      </c>
    </row>
    <row r="12" spans="2:7" ht="22.15" customHeight="1" x14ac:dyDescent="0.25">
      <c r="B12" s="44" t="s">
        <v>121</v>
      </c>
      <c r="C12" s="46" t="s">
        <v>122</v>
      </c>
      <c r="D12" s="64"/>
      <c r="E12" s="64"/>
      <c r="F12" s="65">
        <f t="shared" si="0"/>
        <v>0</v>
      </c>
      <c r="G12" s="46" t="str">
        <f t="shared" si="1"/>
        <v>Tied</v>
      </c>
    </row>
    <row r="13" spans="2:7" ht="22.15" customHeight="1" x14ac:dyDescent="0.25">
      <c r="B13" s="51" t="s">
        <v>124</v>
      </c>
      <c r="C13" s="57" t="s">
        <v>116</v>
      </c>
      <c r="D13" s="64"/>
      <c r="E13" s="64"/>
      <c r="F13" s="66">
        <f t="shared" si="0"/>
        <v>0</v>
      </c>
      <c r="G13" s="57" t="str">
        <f t="shared" si="1"/>
        <v>Tied</v>
      </c>
    </row>
    <row r="14" spans="2:7" ht="22.15" customHeight="1" x14ac:dyDescent="0.25">
      <c r="B14" s="44" t="s">
        <v>126</v>
      </c>
      <c r="C14" s="46" t="s">
        <v>116</v>
      </c>
      <c r="D14" s="64"/>
      <c r="E14" s="64"/>
      <c r="F14" s="65">
        <f t="shared" si="0"/>
        <v>0</v>
      </c>
      <c r="G14" s="46" t="str">
        <f t="shared" si="1"/>
        <v>Tied</v>
      </c>
    </row>
    <row r="15" spans="2:7" ht="22.15" customHeight="1" x14ac:dyDescent="0.25">
      <c r="B15" s="51" t="s">
        <v>128</v>
      </c>
      <c r="C15" s="57" t="s">
        <v>116</v>
      </c>
      <c r="D15" s="64"/>
      <c r="E15" s="64"/>
      <c r="F15" s="66">
        <f t="shared" si="0"/>
        <v>0</v>
      </c>
      <c r="G15" s="57" t="str">
        <f t="shared" si="1"/>
        <v>Tied</v>
      </c>
    </row>
    <row r="16" spans="2:7" ht="22.15" customHeight="1" x14ac:dyDescent="0.25">
      <c r="B16" s="44" t="s">
        <v>130</v>
      </c>
      <c r="C16" s="46" t="s">
        <v>131</v>
      </c>
      <c r="D16" s="64"/>
      <c r="E16" s="64"/>
      <c r="F16" s="65">
        <f t="shared" si="0"/>
        <v>0</v>
      </c>
      <c r="G16" s="46" t="str">
        <f t="shared" si="1"/>
        <v>Tied</v>
      </c>
    </row>
    <row r="17" spans="2:7" ht="22.15" customHeight="1" x14ac:dyDescent="0.25">
      <c r="B17" s="51" t="s">
        <v>133</v>
      </c>
      <c r="C17" s="57" t="s">
        <v>122</v>
      </c>
      <c r="D17" s="64"/>
      <c r="E17" s="64"/>
      <c r="F17" s="66">
        <f t="shared" si="0"/>
        <v>0</v>
      </c>
      <c r="G17" s="57" t="str">
        <f t="shared" si="1"/>
        <v>Tied</v>
      </c>
    </row>
    <row r="18" spans="2:7" ht="22.15" customHeight="1" x14ac:dyDescent="0.25">
      <c r="B18" s="1"/>
      <c r="C18" s="1"/>
      <c r="D18" s="1" t="s">
        <v>287</v>
      </c>
      <c r="E18" s="1" t="s">
        <v>288</v>
      </c>
      <c r="F18" s="1" t="s">
        <v>289</v>
      </c>
      <c r="G18" s="1"/>
    </row>
    <row r="19" spans="2:7" ht="25.9" customHeight="1" x14ac:dyDescent="0.25">
      <c r="B19" s="132" t="s">
        <v>290</v>
      </c>
      <c r="C19" s="111"/>
      <c r="D19" s="48">
        <f>D10*0.15+D11*0.12+D12*0.1+D13*0.15+D14*0.15+D15*0.15+D16*0.08+D17*0.1</f>
        <v>0</v>
      </c>
      <c r="E19" s="48">
        <f>E10*0.15+E11*0.12+E12*0.1+E13*0.15+E14*0.15+E15*0.15+E16*0.08+E17*0.1</f>
        <v>0</v>
      </c>
      <c r="F19" s="67">
        <f>ABS(D19-E19)</f>
        <v>0</v>
      </c>
      <c r="G19" s="68" t="str">
        <f>IF(D19&gt;E19,"App 1 — "&amp;C6," App 2 — "&amp;C6)</f>
        <v xml:space="preserve"> App 2 — </v>
      </c>
    </row>
    <row r="20" spans="2:7" ht="10.15" customHeight="1" x14ac:dyDescent="0.25"/>
    <row r="21" spans="2:7" ht="16.149999999999999" customHeight="1" x14ac:dyDescent="0.25">
      <c r="B21" s="110" t="s">
        <v>291</v>
      </c>
      <c r="C21" s="111"/>
      <c r="D21" s="111"/>
      <c r="E21" s="111"/>
      <c r="F21" s="111"/>
      <c r="G21" s="111"/>
    </row>
    <row r="22" spans="2:7" ht="18" customHeight="1" x14ac:dyDescent="0.25">
      <c r="B22" s="131" t="s">
        <v>292</v>
      </c>
      <c r="C22" s="111"/>
      <c r="D22" s="111"/>
      <c r="E22" s="111"/>
      <c r="F22" s="111"/>
      <c r="G22" s="111"/>
    </row>
    <row r="23" spans="2:7" ht="19.899999999999999" customHeight="1" x14ac:dyDescent="0.25">
      <c r="B23" s="1" t="s">
        <v>293</v>
      </c>
      <c r="C23" s="1" t="s">
        <v>112</v>
      </c>
      <c r="D23" s="1" t="s">
        <v>294</v>
      </c>
      <c r="E23" s="1" t="s">
        <v>295</v>
      </c>
      <c r="F23" s="1" t="s">
        <v>296</v>
      </c>
      <c r="G23" s="1" t="s">
        <v>297</v>
      </c>
    </row>
    <row r="24" spans="2:7" ht="18" customHeight="1" x14ac:dyDescent="0.25">
      <c r="B24" s="44" t="s">
        <v>115</v>
      </c>
      <c r="C24" s="69">
        <v>0.15</v>
      </c>
      <c r="D24" s="45">
        <f t="shared" ref="D24:E31" si="2">D10</f>
        <v>0</v>
      </c>
      <c r="E24" s="45">
        <f t="shared" si="2"/>
        <v>0</v>
      </c>
      <c r="F24" s="70">
        <f>D24*0.15</f>
        <v>0</v>
      </c>
      <c r="G24" s="71">
        <f>E24*0.15</f>
        <v>0</v>
      </c>
    </row>
    <row r="25" spans="2:7" ht="18" customHeight="1" x14ac:dyDescent="0.25">
      <c r="B25" s="51" t="s">
        <v>118</v>
      </c>
      <c r="C25" s="72">
        <v>0.12</v>
      </c>
      <c r="D25" s="45">
        <f t="shared" si="2"/>
        <v>0</v>
      </c>
      <c r="E25" s="45">
        <f t="shared" si="2"/>
        <v>0</v>
      </c>
      <c r="F25" s="73">
        <f>D25*0.12</f>
        <v>0</v>
      </c>
      <c r="G25" s="74">
        <f>E25*0.12</f>
        <v>0</v>
      </c>
    </row>
    <row r="26" spans="2:7" ht="18" customHeight="1" x14ac:dyDescent="0.25">
      <c r="B26" s="44" t="s">
        <v>121</v>
      </c>
      <c r="C26" s="69">
        <v>0.1</v>
      </c>
      <c r="D26" s="45">
        <f t="shared" si="2"/>
        <v>0</v>
      </c>
      <c r="E26" s="45">
        <f t="shared" si="2"/>
        <v>0</v>
      </c>
      <c r="F26" s="70">
        <f>D26*0.1</f>
        <v>0</v>
      </c>
      <c r="G26" s="71">
        <f>E26*0.1</f>
        <v>0</v>
      </c>
    </row>
    <row r="27" spans="2:7" ht="18" customHeight="1" x14ac:dyDescent="0.25">
      <c r="B27" s="51" t="s">
        <v>124</v>
      </c>
      <c r="C27" s="72">
        <v>0.15</v>
      </c>
      <c r="D27" s="45">
        <f t="shared" si="2"/>
        <v>0</v>
      </c>
      <c r="E27" s="45">
        <f t="shared" si="2"/>
        <v>0</v>
      </c>
      <c r="F27" s="73">
        <f t="shared" ref="F27:G29" si="3">D27*0.15</f>
        <v>0</v>
      </c>
      <c r="G27" s="74">
        <f t="shared" si="3"/>
        <v>0</v>
      </c>
    </row>
    <row r="28" spans="2:7" ht="18" customHeight="1" x14ac:dyDescent="0.25">
      <c r="B28" s="44" t="s">
        <v>126</v>
      </c>
      <c r="C28" s="69">
        <v>0.15</v>
      </c>
      <c r="D28" s="45">
        <f t="shared" si="2"/>
        <v>0</v>
      </c>
      <c r="E28" s="45">
        <f t="shared" si="2"/>
        <v>0</v>
      </c>
      <c r="F28" s="70">
        <f t="shared" si="3"/>
        <v>0</v>
      </c>
      <c r="G28" s="71">
        <f t="shared" si="3"/>
        <v>0</v>
      </c>
    </row>
    <row r="29" spans="2:7" ht="18" customHeight="1" x14ac:dyDescent="0.25">
      <c r="B29" s="51" t="s">
        <v>128</v>
      </c>
      <c r="C29" s="72">
        <v>0.15</v>
      </c>
      <c r="D29" s="45">
        <f t="shared" si="2"/>
        <v>0</v>
      </c>
      <c r="E29" s="45">
        <f t="shared" si="2"/>
        <v>0</v>
      </c>
      <c r="F29" s="73">
        <f t="shared" si="3"/>
        <v>0</v>
      </c>
      <c r="G29" s="74">
        <f t="shared" si="3"/>
        <v>0</v>
      </c>
    </row>
    <row r="30" spans="2:7" ht="18" customHeight="1" x14ac:dyDescent="0.25">
      <c r="B30" s="44" t="s">
        <v>130</v>
      </c>
      <c r="C30" s="69">
        <v>0.08</v>
      </c>
      <c r="D30" s="45">
        <f t="shared" si="2"/>
        <v>0</v>
      </c>
      <c r="E30" s="45">
        <f t="shared" si="2"/>
        <v>0</v>
      </c>
      <c r="F30" s="70">
        <f>D30*0.08</f>
        <v>0</v>
      </c>
      <c r="G30" s="71">
        <f>E30*0.08</f>
        <v>0</v>
      </c>
    </row>
    <row r="31" spans="2:7" ht="18" customHeight="1" x14ac:dyDescent="0.25">
      <c r="B31" s="51" t="s">
        <v>133</v>
      </c>
      <c r="C31" s="72">
        <v>0.1</v>
      </c>
      <c r="D31" s="45">
        <f t="shared" si="2"/>
        <v>0</v>
      </c>
      <c r="E31" s="45">
        <f t="shared" si="2"/>
        <v>0</v>
      </c>
      <c r="F31" s="73">
        <f>D31*0.1</f>
        <v>0</v>
      </c>
      <c r="G31" s="74">
        <f>E31*0.1</f>
        <v>0</v>
      </c>
    </row>
    <row r="32" spans="2:7" ht="10.15" customHeight="1" x14ac:dyDescent="0.25"/>
    <row r="33" spans="2:7" ht="16.149999999999999" customHeight="1" x14ac:dyDescent="0.25">
      <c r="B33" s="110" t="s">
        <v>298</v>
      </c>
      <c r="C33" s="111"/>
      <c r="D33" s="111"/>
      <c r="E33" s="111"/>
      <c r="F33" s="111"/>
      <c r="G33" s="111"/>
    </row>
    <row r="34" spans="2:7" ht="19.899999999999999" customHeight="1" x14ac:dyDescent="0.25">
      <c r="B34" s="134" t="s">
        <v>299</v>
      </c>
      <c r="C34" s="111"/>
      <c r="D34" s="111"/>
      <c r="E34" s="111"/>
      <c r="F34" s="111"/>
      <c r="G34" s="111"/>
    </row>
    <row r="35" spans="2:7" ht="19.899999999999999" customHeight="1" x14ac:dyDescent="0.25">
      <c r="B35" s="111"/>
      <c r="C35" s="111"/>
      <c r="D35" s="111"/>
      <c r="E35" s="111"/>
      <c r="F35" s="111"/>
      <c r="G35" s="111"/>
    </row>
    <row r="36" spans="2:7" ht="10.15" customHeight="1" x14ac:dyDescent="0.25"/>
    <row r="37" spans="2:7" ht="16.149999999999999" customHeight="1" x14ac:dyDescent="0.25">
      <c r="B37" s="110" t="s">
        <v>300</v>
      </c>
      <c r="C37" s="111"/>
      <c r="D37" s="111"/>
      <c r="E37" s="111"/>
      <c r="F37" s="111"/>
      <c r="G37" s="111"/>
    </row>
    <row r="38" spans="2:7" ht="18" customHeight="1" x14ac:dyDescent="0.25">
      <c r="B38" s="119" t="s">
        <v>301</v>
      </c>
      <c r="C38" s="121"/>
      <c r="D38" s="120"/>
      <c r="E38" s="119" t="s">
        <v>302</v>
      </c>
      <c r="F38" s="120"/>
      <c r="G38" s="17" t="s">
        <v>303</v>
      </c>
    </row>
    <row r="39" spans="2:7" ht="24" customHeight="1" x14ac:dyDescent="0.25">
      <c r="B39" s="117" t="s">
        <v>304</v>
      </c>
      <c r="C39" s="111"/>
      <c r="D39" s="111"/>
      <c r="E39" s="118" t="s">
        <v>305</v>
      </c>
      <c r="F39" s="111"/>
      <c r="G39" s="75" t="s">
        <v>306</v>
      </c>
    </row>
    <row r="40" spans="2:7" ht="24" customHeight="1" x14ac:dyDescent="0.25">
      <c r="B40" s="133" t="s">
        <v>307</v>
      </c>
      <c r="C40" s="111"/>
      <c r="D40" s="111"/>
      <c r="E40" s="118" t="s">
        <v>308</v>
      </c>
      <c r="F40" s="111"/>
      <c r="G40" s="75" t="s">
        <v>306</v>
      </c>
    </row>
    <row r="41" spans="2:7" ht="24" customHeight="1" x14ac:dyDescent="0.25">
      <c r="B41" s="117" t="s">
        <v>309</v>
      </c>
      <c r="C41" s="111"/>
      <c r="D41" s="111"/>
      <c r="E41" s="118" t="s">
        <v>310</v>
      </c>
      <c r="F41" s="111"/>
      <c r="G41" s="75" t="s">
        <v>311</v>
      </c>
    </row>
    <row r="42" spans="2:7" ht="24" customHeight="1" x14ac:dyDescent="0.25">
      <c r="B42" s="133" t="s">
        <v>312</v>
      </c>
      <c r="C42" s="111"/>
      <c r="D42" s="111"/>
      <c r="E42" s="118" t="s">
        <v>313</v>
      </c>
      <c r="F42" s="111"/>
      <c r="G42" s="75" t="s">
        <v>314</v>
      </c>
    </row>
    <row r="43" spans="2:7" ht="24" customHeight="1" x14ac:dyDescent="0.25">
      <c r="B43" s="117" t="s">
        <v>315</v>
      </c>
      <c r="C43" s="111"/>
      <c r="D43" s="111"/>
      <c r="E43" s="118" t="s">
        <v>316</v>
      </c>
      <c r="F43" s="111"/>
      <c r="G43" s="75" t="s">
        <v>314</v>
      </c>
    </row>
    <row r="44" spans="2:7" ht="10.15" customHeight="1" x14ac:dyDescent="0.25"/>
    <row r="45" spans="2:7" ht="16.149999999999999" customHeight="1" x14ac:dyDescent="0.25">
      <c r="B45" s="110" t="s">
        <v>317</v>
      </c>
      <c r="C45" s="111"/>
      <c r="D45" s="111"/>
      <c r="E45" s="111"/>
      <c r="F45" s="111"/>
      <c r="G45" s="111"/>
    </row>
    <row r="46" spans="2:7" ht="16.149999999999999" customHeight="1" x14ac:dyDescent="0.25">
      <c r="B46" s="110" t="s">
        <v>318</v>
      </c>
      <c r="C46" s="111"/>
      <c r="D46" s="111"/>
      <c r="E46" s="111"/>
      <c r="F46" s="111"/>
      <c r="G46" s="111"/>
    </row>
    <row r="47" spans="2:7" ht="18" customHeight="1" x14ac:dyDescent="0.25">
      <c r="B47" s="116" t="s">
        <v>319</v>
      </c>
      <c r="C47" s="111"/>
      <c r="D47" s="111"/>
      <c r="E47" s="111"/>
      <c r="F47" s="111"/>
      <c r="G47" s="111"/>
    </row>
    <row r="48" spans="2:7" ht="18" customHeight="1" x14ac:dyDescent="0.25">
      <c r="B48" s="111"/>
      <c r="C48" s="111"/>
      <c r="D48" s="111"/>
      <c r="E48" s="111"/>
      <c r="F48" s="111"/>
      <c r="G48" s="111"/>
    </row>
    <row r="49" spans="2:7" ht="18" customHeight="1" x14ac:dyDescent="0.25">
      <c r="B49" s="111"/>
      <c r="C49" s="111"/>
      <c r="D49" s="111"/>
      <c r="E49" s="111"/>
      <c r="F49" s="111"/>
      <c r="G49" s="111"/>
    </row>
    <row r="50" spans="2:7" ht="18" customHeight="1" x14ac:dyDescent="0.25">
      <c r="B50" s="111"/>
      <c r="C50" s="111"/>
      <c r="D50" s="111"/>
      <c r="E50" s="111"/>
      <c r="F50" s="111"/>
      <c r="G50" s="111"/>
    </row>
    <row r="51" spans="2:7" ht="16.149999999999999" customHeight="1" x14ac:dyDescent="0.25">
      <c r="B51" s="110" t="s">
        <v>320</v>
      </c>
      <c r="C51" s="111"/>
      <c r="D51" s="111"/>
      <c r="E51" s="111"/>
      <c r="F51" s="111"/>
      <c r="G51" s="111"/>
    </row>
    <row r="52" spans="2:7" ht="18" customHeight="1" x14ac:dyDescent="0.25">
      <c r="B52" s="116" t="s">
        <v>321</v>
      </c>
      <c r="C52" s="111"/>
      <c r="D52" s="111"/>
      <c r="E52" s="111"/>
      <c r="F52" s="111"/>
      <c r="G52" s="111"/>
    </row>
    <row r="53" spans="2:7" ht="18" customHeight="1" x14ac:dyDescent="0.25">
      <c r="B53" s="111"/>
      <c r="C53" s="111"/>
      <c r="D53" s="111"/>
      <c r="E53" s="111"/>
      <c r="F53" s="111"/>
      <c r="G53" s="111"/>
    </row>
    <row r="54" spans="2:7" ht="18" customHeight="1" x14ac:dyDescent="0.25">
      <c r="B54" s="111"/>
      <c r="C54" s="111"/>
      <c r="D54" s="111"/>
      <c r="E54" s="111"/>
      <c r="F54" s="111"/>
      <c r="G54" s="111"/>
    </row>
    <row r="55" spans="2:7" ht="18" customHeight="1" x14ac:dyDescent="0.25">
      <c r="B55" s="111"/>
      <c r="C55" s="111"/>
      <c r="D55" s="111"/>
      <c r="E55" s="111"/>
      <c r="F55" s="111"/>
      <c r="G55" s="111"/>
    </row>
    <row r="56" spans="2:7" ht="16.149999999999999" customHeight="1" x14ac:dyDescent="0.25">
      <c r="B56" s="110" t="s">
        <v>322</v>
      </c>
      <c r="C56" s="111"/>
      <c r="D56" s="111"/>
      <c r="E56" s="111"/>
      <c r="F56" s="111"/>
      <c r="G56" s="111"/>
    </row>
    <row r="57" spans="2:7" ht="18" customHeight="1" x14ac:dyDescent="0.25">
      <c r="B57" s="116" t="s">
        <v>323</v>
      </c>
      <c r="C57" s="111"/>
      <c r="D57" s="111"/>
      <c r="E57" s="111"/>
      <c r="F57" s="111"/>
      <c r="G57" s="111"/>
    </row>
    <row r="58" spans="2:7" ht="18" customHeight="1" x14ac:dyDescent="0.25">
      <c r="B58" s="111"/>
      <c r="C58" s="111"/>
      <c r="D58" s="111"/>
      <c r="E58" s="111"/>
      <c r="F58" s="111"/>
      <c r="G58" s="111"/>
    </row>
    <row r="59" spans="2:7" ht="18" customHeight="1" x14ac:dyDescent="0.25">
      <c r="B59" s="111"/>
      <c r="C59" s="111"/>
      <c r="D59" s="111"/>
      <c r="E59" s="111"/>
      <c r="F59" s="111"/>
      <c r="G59" s="111"/>
    </row>
    <row r="60" spans="2:7" ht="18" customHeight="1" x14ac:dyDescent="0.25">
      <c r="B60" s="111"/>
      <c r="C60" s="111"/>
      <c r="D60" s="111"/>
      <c r="E60" s="111"/>
      <c r="F60" s="111"/>
      <c r="G60" s="111"/>
    </row>
    <row r="61" spans="2:7" ht="16.149999999999999" customHeight="1" x14ac:dyDescent="0.25">
      <c r="B61" s="110" t="s">
        <v>324</v>
      </c>
      <c r="C61" s="111"/>
      <c r="D61" s="111"/>
      <c r="E61" s="111"/>
      <c r="F61" s="111"/>
      <c r="G61" s="111"/>
    </row>
    <row r="62" spans="2:7" ht="18" customHeight="1" x14ac:dyDescent="0.25">
      <c r="B62" s="116" t="s">
        <v>325</v>
      </c>
      <c r="C62" s="111"/>
      <c r="D62" s="111"/>
      <c r="E62" s="111"/>
      <c r="F62" s="111"/>
      <c r="G62" s="111"/>
    </row>
    <row r="63" spans="2:7" ht="18" customHeight="1" x14ac:dyDescent="0.25">
      <c r="B63" s="111"/>
      <c r="C63" s="111"/>
      <c r="D63" s="111"/>
      <c r="E63" s="111"/>
      <c r="F63" s="111"/>
      <c r="G63" s="111"/>
    </row>
    <row r="64" spans="2:7" ht="18" customHeight="1" x14ac:dyDescent="0.25">
      <c r="B64" s="111"/>
      <c r="C64" s="111"/>
      <c r="D64" s="111"/>
      <c r="E64" s="111"/>
      <c r="F64" s="111"/>
      <c r="G64" s="111"/>
    </row>
    <row r="65" spans="2:7" ht="18" customHeight="1" x14ac:dyDescent="0.25">
      <c r="B65" s="111"/>
      <c r="C65" s="111"/>
      <c r="D65" s="111"/>
      <c r="E65" s="111"/>
      <c r="F65" s="111"/>
      <c r="G65" s="111"/>
    </row>
  </sheetData>
  <mergeCells count="31">
    <mergeCell ref="B1:G1"/>
    <mergeCell ref="B8:G8"/>
    <mergeCell ref="E42:F42"/>
    <mergeCell ref="E39:F39"/>
    <mergeCell ref="B38:D38"/>
    <mergeCell ref="E38:F38"/>
    <mergeCell ref="B37:G37"/>
    <mergeCell ref="B40:D40"/>
    <mergeCell ref="E40:F40"/>
    <mergeCell ref="B33:G33"/>
    <mergeCell ref="B21:G21"/>
    <mergeCell ref="B2:G2"/>
    <mergeCell ref="B42:D42"/>
    <mergeCell ref="B61:G61"/>
    <mergeCell ref="B47:G50"/>
    <mergeCell ref="B4:G4"/>
    <mergeCell ref="B34:G35"/>
    <mergeCell ref="B46:G46"/>
    <mergeCell ref="B22:G22"/>
    <mergeCell ref="B57:G60"/>
    <mergeCell ref="E41:F41"/>
    <mergeCell ref="B56:G56"/>
    <mergeCell ref="B43:D43"/>
    <mergeCell ref="B39:D39"/>
    <mergeCell ref="B51:G51"/>
    <mergeCell ref="B41:D41"/>
    <mergeCell ref="B19:C19"/>
    <mergeCell ref="B45:G45"/>
    <mergeCell ref="B62:G65"/>
    <mergeCell ref="B52:G55"/>
    <mergeCell ref="E43:F4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61"/>
  <sheetViews>
    <sheetView showGridLines="0" workbookViewId="0"/>
  </sheetViews>
  <sheetFormatPr defaultRowHeight="15" x14ac:dyDescent="0.25"/>
  <cols>
    <col min="1" max="1" width="3" customWidth="1"/>
    <col min="2" max="2" width="16" customWidth="1"/>
    <col min="3" max="3" width="20" customWidth="1"/>
    <col min="4" max="5" width="8" customWidth="1"/>
    <col min="6" max="6" width="30" customWidth="1"/>
    <col min="7" max="7" width="5" customWidth="1"/>
  </cols>
  <sheetData>
    <row r="1" spans="2:6" ht="31.9" customHeight="1" x14ac:dyDescent="0.25">
      <c r="B1" s="123" t="s">
        <v>326</v>
      </c>
      <c r="C1" s="111"/>
      <c r="D1" s="111"/>
      <c r="E1" s="111"/>
      <c r="F1" s="111"/>
    </row>
    <row r="2" spans="2:6" ht="18" customHeight="1" x14ac:dyDescent="0.25">
      <c r="B2" s="131" t="s">
        <v>327</v>
      </c>
      <c r="C2" s="111"/>
      <c r="D2" s="111"/>
      <c r="E2" s="111"/>
      <c r="F2" s="111"/>
    </row>
    <row r="3" spans="2:6" ht="10.15" customHeight="1" x14ac:dyDescent="0.25"/>
    <row r="4" spans="2:6" ht="16.149999999999999" customHeight="1" x14ac:dyDescent="0.25">
      <c r="B4" s="110" t="s">
        <v>328</v>
      </c>
      <c r="C4" s="111"/>
      <c r="D4" s="111"/>
      <c r="E4" s="111"/>
      <c r="F4" s="111"/>
    </row>
    <row r="5" spans="2:6" ht="19.899999999999999" customHeight="1" x14ac:dyDescent="0.25">
      <c r="B5" s="135" t="s">
        <v>329</v>
      </c>
      <c r="C5" s="111"/>
      <c r="D5" s="111"/>
      <c r="E5" s="111"/>
      <c r="F5" s="111"/>
    </row>
    <row r="6" spans="2:6" ht="19.899999999999999" customHeight="1" x14ac:dyDescent="0.25">
      <c r="B6" s="111"/>
      <c r="C6" s="111"/>
      <c r="D6" s="111"/>
      <c r="E6" s="111"/>
      <c r="F6" s="111"/>
    </row>
    <row r="7" spans="2:6" ht="10.15" customHeight="1" x14ac:dyDescent="0.25"/>
    <row r="8" spans="2:6" ht="16.149999999999999" customHeight="1" x14ac:dyDescent="0.25">
      <c r="B8" s="110" t="s">
        <v>330</v>
      </c>
      <c r="C8" s="111"/>
      <c r="D8" s="111"/>
      <c r="E8" s="111"/>
      <c r="F8" s="111"/>
    </row>
    <row r="9" spans="2:6" ht="18" customHeight="1" x14ac:dyDescent="0.25">
      <c r="B9" s="76" t="s">
        <v>331</v>
      </c>
      <c r="C9" s="76" t="s">
        <v>332</v>
      </c>
      <c r="D9" s="76" t="s">
        <v>333</v>
      </c>
      <c r="E9" s="76" t="s">
        <v>334</v>
      </c>
      <c r="F9" s="76" t="s">
        <v>335</v>
      </c>
    </row>
    <row r="10" spans="2:6" ht="36" customHeight="1" x14ac:dyDescent="0.25">
      <c r="B10" s="28" t="s">
        <v>336</v>
      </c>
      <c r="C10" s="77" t="s">
        <v>337</v>
      </c>
      <c r="D10" s="77" t="s">
        <v>18</v>
      </c>
      <c r="E10" s="77" t="s">
        <v>338</v>
      </c>
      <c r="F10" s="77" t="s">
        <v>339</v>
      </c>
    </row>
    <row r="11" spans="2:6" ht="36" customHeight="1" x14ac:dyDescent="0.25">
      <c r="B11" s="28" t="s">
        <v>340</v>
      </c>
      <c r="C11" s="77" t="s">
        <v>341</v>
      </c>
      <c r="D11" s="77" t="s">
        <v>19</v>
      </c>
      <c r="E11" s="77" t="s">
        <v>342</v>
      </c>
      <c r="F11" s="77" t="s">
        <v>343</v>
      </c>
    </row>
    <row r="12" spans="2:6" ht="36" customHeight="1" x14ac:dyDescent="0.25">
      <c r="B12" s="21" t="s">
        <v>344</v>
      </c>
      <c r="C12" s="78" t="s">
        <v>345</v>
      </c>
      <c r="D12" s="78" t="s">
        <v>19</v>
      </c>
      <c r="E12" s="78" t="s">
        <v>338</v>
      </c>
      <c r="F12" s="78" t="s">
        <v>346</v>
      </c>
    </row>
    <row r="13" spans="2:6" ht="10.15" customHeight="1" x14ac:dyDescent="0.25"/>
    <row r="14" spans="2:6" ht="16.149999999999999" customHeight="1" x14ac:dyDescent="0.25">
      <c r="B14" s="110" t="s">
        <v>347</v>
      </c>
      <c r="C14" s="111"/>
      <c r="D14" s="111"/>
      <c r="E14" s="111"/>
      <c r="F14" s="111"/>
    </row>
    <row r="15" spans="2:6" ht="22.15" customHeight="1" x14ac:dyDescent="0.25">
      <c r="B15" s="113" t="s">
        <v>348</v>
      </c>
      <c r="C15" s="111"/>
      <c r="D15" s="111"/>
      <c r="E15" s="111"/>
      <c r="F15" s="111"/>
    </row>
    <row r="16" spans="2:6" ht="16.149999999999999" customHeight="1" x14ac:dyDescent="0.25">
      <c r="B16" s="1" t="s">
        <v>46</v>
      </c>
      <c r="C16" s="113" t="s">
        <v>349</v>
      </c>
      <c r="D16" s="121"/>
      <c r="E16" s="121"/>
      <c r="F16" s="120"/>
    </row>
    <row r="17" spans="2:6" ht="18" customHeight="1" x14ac:dyDescent="0.25">
      <c r="B17" s="2" t="s">
        <v>47</v>
      </c>
      <c r="C17" s="128"/>
      <c r="D17" s="111"/>
      <c r="E17" s="111"/>
      <c r="F17" s="111"/>
    </row>
    <row r="18" spans="2:6" ht="18" customHeight="1" x14ac:dyDescent="0.25">
      <c r="B18" s="2" t="s">
        <v>350</v>
      </c>
      <c r="C18" s="128"/>
      <c r="D18" s="111"/>
      <c r="E18" s="111"/>
      <c r="F18" s="111"/>
    </row>
    <row r="19" spans="2:6" ht="16.149999999999999" customHeight="1" x14ac:dyDescent="0.25">
      <c r="B19" s="2" t="s">
        <v>351</v>
      </c>
      <c r="C19" s="128"/>
      <c r="D19" s="111"/>
      <c r="E19" s="111"/>
      <c r="F19" s="111"/>
    </row>
    <row r="20" spans="2:6" ht="16.149999999999999" customHeight="1" x14ac:dyDescent="0.25">
      <c r="B20" s="2" t="s">
        <v>352</v>
      </c>
      <c r="C20" s="128"/>
      <c r="D20" s="111"/>
      <c r="E20" s="111"/>
      <c r="F20" s="111"/>
    </row>
    <row r="21" spans="2:6" ht="16.149999999999999" customHeight="1" x14ac:dyDescent="0.25">
      <c r="B21" s="2" t="s">
        <v>353</v>
      </c>
      <c r="C21" s="128"/>
      <c r="D21" s="111"/>
      <c r="E21" s="111"/>
      <c r="F21" s="111"/>
    </row>
    <row r="22" spans="2:6" ht="18" customHeight="1" x14ac:dyDescent="0.25">
      <c r="B22" s="2" t="s">
        <v>354</v>
      </c>
      <c r="C22" s="128"/>
      <c r="D22" s="111"/>
      <c r="E22" s="111"/>
      <c r="F22" s="111"/>
    </row>
    <row r="23" spans="2:6" ht="18" customHeight="1" x14ac:dyDescent="0.25">
      <c r="B23" s="2" t="s">
        <v>355</v>
      </c>
      <c r="C23" s="128"/>
      <c r="D23" s="111"/>
      <c r="E23" s="111"/>
      <c r="F23" s="111"/>
    </row>
    <row r="24" spans="2:6" ht="36" customHeight="1" x14ac:dyDescent="0.25">
      <c r="B24" s="2" t="s">
        <v>356</v>
      </c>
      <c r="C24" s="128"/>
      <c r="D24" s="111"/>
      <c r="E24" s="111"/>
      <c r="F24" s="111"/>
    </row>
    <row r="25" spans="2:6" ht="7.9" customHeight="1" x14ac:dyDescent="0.25"/>
    <row r="27" spans="2:6" ht="22.15" customHeight="1" x14ac:dyDescent="0.25">
      <c r="B27" s="113" t="s">
        <v>357</v>
      </c>
      <c r="C27" s="111"/>
      <c r="D27" s="111"/>
      <c r="E27" s="111"/>
      <c r="F27" s="111"/>
    </row>
    <row r="28" spans="2:6" ht="16.149999999999999" customHeight="1" x14ac:dyDescent="0.25">
      <c r="B28" s="1" t="s">
        <v>46</v>
      </c>
      <c r="C28" s="113" t="s">
        <v>349</v>
      </c>
      <c r="D28" s="121"/>
      <c r="E28" s="121"/>
      <c r="F28" s="120"/>
    </row>
    <row r="29" spans="2:6" ht="18" customHeight="1" x14ac:dyDescent="0.25">
      <c r="B29" s="2" t="s">
        <v>47</v>
      </c>
      <c r="C29" s="128"/>
      <c r="D29" s="111"/>
      <c r="E29" s="111"/>
      <c r="F29" s="111"/>
    </row>
    <row r="30" spans="2:6" ht="18" customHeight="1" x14ac:dyDescent="0.25">
      <c r="B30" s="2" t="s">
        <v>350</v>
      </c>
      <c r="C30" s="128"/>
      <c r="D30" s="111"/>
      <c r="E30" s="111"/>
      <c r="F30" s="111"/>
    </row>
    <row r="31" spans="2:6" ht="16.149999999999999" customHeight="1" x14ac:dyDescent="0.25">
      <c r="B31" s="2" t="s">
        <v>351</v>
      </c>
      <c r="C31" s="128"/>
      <c r="D31" s="111"/>
      <c r="E31" s="111"/>
      <c r="F31" s="111"/>
    </row>
    <row r="32" spans="2:6" ht="16.149999999999999" customHeight="1" x14ac:dyDescent="0.25">
      <c r="B32" s="2" t="s">
        <v>352</v>
      </c>
      <c r="C32" s="128"/>
      <c r="D32" s="111"/>
      <c r="E32" s="111"/>
      <c r="F32" s="111"/>
    </row>
    <row r="33" spans="2:6" ht="16.149999999999999" customHeight="1" x14ac:dyDescent="0.25">
      <c r="B33" s="2" t="s">
        <v>353</v>
      </c>
      <c r="C33" s="128"/>
      <c r="D33" s="111"/>
      <c r="E33" s="111"/>
      <c r="F33" s="111"/>
    </row>
    <row r="34" spans="2:6" ht="18" customHeight="1" x14ac:dyDescent="0.25">
      <c r="B34" s="2" t="s">
        <v>354</v>
      </c>
      <c r="C34" s="128"/>
      <c r="D34" s="111"/>
      <c r="E34" s="111"/>
      <c r="F34" s="111"/>
    </row>
    <row r="35" spans="2:6" ht="18" customHeight="1" x14ac:dyDescent="0.25">
      <c r="B35" s="2" t="s">
        <v>355</v>
      </c>
      <c r="C35" s="128"/>
      <c r="D35" s="111"/>
      <c r="E35" s="111"/>
      <c r="F35" s="111"/>
    </row>
    <row r="36" spans="2:6" ht="36" customHeight="1" x14ac:dyDescent="0.25">
      <c r="B36" s="2" t="s">
        <v>356</v>
      </c>
      <c r="C36" s="128"/>
      <c r="D36" s="111"/>
      <c r="E36" s="111"/>
      <c r="F36" s="111"/>
    </row>
    <row r="37" spans="2:6" ht="7.9" customHeight="1" x14ac:dyDescent="0.25"/>
    <row r="39" spans="2:6" ht="22.15" customHeight="1" x14ac:dyDescent="0.25">
      <c r="B39" s="119" t="s">
        <v>358</v>
      </c>
      <c r="C39" s="111"/>
      <c r="D39" s="111"/>
      <c r="E39" s="111"/>
      <c r="F39" s="111"/>
    </row>
    <row r="40" spans="2:6" ht="16.149999999999999" customHeight="1" x14ac:dyDescent="0.25">
      <c r="B40" s="17" t="s">
        <v>46</v>
      </c>
      <c r="C40" s="119" t="s">
        <v>349</v>
      </c>
      <c r="D40" s="121"/>
      <c r="E40" s="121"/>
      <c r="F40" s="120"/>
    </row>
    <row r="41" spans="2:6" ht="18" customHeight="1" x14ac:dyDescent="0.25">
      <c r="B41" s="2" t="s">
        <v>47</v>
      </c>
      <c r="C41" s="128"/>
      <c r="D41" s="111"/>
      <c r="E41" s="111"/>
      <c r="F41" s="111"/>
    </row>
    <row r="42" spans="2:6" ht="18" customHeight="1" x14ac:dyDescent="0.25">
      <c r="B42" s="2" t="s">
        <v>350</v>
      </c>
      <c r="C42" s="128"/>
      <c r="D42" s="111"/>
      <c r="E42" s="111"/>
      <c r="F42" s="111"/>
    </row>
    <row r="43" spans="2:6" ht="16.149999999999999" customHeight="1" x14ac:dyDescent="0.25">
      <c r="B43" s="2" t="s">
        <v>351</v>
      </c>
      <c r="C43" s="128"/>
      <c r="D43" s="111"/>
      <c r="E43" s="111"/>
      <c r="F43" s="111"/>
    </row>
    <row r="44" spans="2:6" ht="16.149999999999999" customHeight="1" x14ac:dyDescent="0.25">
      <c r="B44" s="2" t="s">
        <v>352</v>
      </c>
      <c r="C44" s="128"/>
      <c r="D44" s="111"/>
      <c r="E44" s="111"/>
      <c r="F44" s="111"/>
    </row>
    <row r="45" spans="2:6" ht="16.149999999999999" customHeight="1" x14ac:dyDescent="0.25">
      <c r="B45" s="2" t="s">
        <v>353</v>
      </c>
      <c r="C45" s="128"/>
      <c r="D45" s="111"/>
      <c r="E45" s="111"/>
      <c r="F45" s="111"/>
    </row>
    <row r="46" spans="2:6" ht="18" customHeight="1" x14ac:dyDescent="0.25">
      <c r="B46" s="2" t="s">
        <v>354</v>
      </c>
      <c r="C46" s="128"/>
      <c r="D46" s="111"/>
      <c r="E46" s="111"/>
      <c r="F46" s="111"/>
    </row>
    <row r="47" spans="2:6" ht="18" customHeight="1" x14ac:dyDescent="0.25">
      <c r="B47" s="2" t="s">
        <v>355</v>
      </c>
      <c r="C47" s="128"/>
      <c r="D47" s="111"/>
      <c r="E47" s="111"/>
      <c r="F47" s="111"/>
    </row>
    <row r="48" spans="2:6" ht="36" customHeight="1" x14ac:dyDescent="0.25">
      <c r="B48" s="2" t="s">
        <v>356</v>
      </c>
      <c r="C48" s="128"/>
      <c r="D48" s="111"/>
      <c r="E48" s="111"/>
      <c r="F48" s="111"/>
    </row>
    <row r="49" spans="2:6" ht="7.9" customHeight="1" x14ac:dyDescent="0.25"/>
    <row r="51" spans="2:6" ht="22.15" customHeight="1" x14ac:dyDescent="0.25">
      <c r="B51" s="119" t="s">
        <v>359</v>
      </c>
      <c r="C51" s="111"/>
      <c r="D51" s="111"/>
      <c r="E51" s="111"/>
      <c r="F51" s="111"/>
    </row>
    <row r="52" spans="2:6" ht="16.149999999999999" customHeight="1" x14ac:dyDescent="0.25">
      <c r="B52" s="17" t="s">
        <v>46</v>
      </c>
      <c r="C52" s="119" t="s">
        <v>349</v>
      </c>
      <c r="D52" s="121"/>
      <c r="E52" s="121"/>
      <c r="F52" s="120"/>
    </row>
    <row r="53" spans="2:6" ht="18" customHeight="1" x14ac:dyDescent="0.25">
      <c r="B53" s="2" t="s">
        <v>47</v>
      </c>
      <c r="C53" s="128"/>
      <c r="D53" s="111"/>
      <c r="E53" s="111"/>
      <c r="F53" s="111"/>
    </row>
    <row r="54" spans="2:6" ht="18" customHeight="1" x14ac:dyDescent="0.25">
      <c r="B54" s="2" t="s">
        <v>350</v>
      </c>
      <c r="C54" s="128"/>
      <c r="D54" s="111"/>
      <c r="E54" s="111"/>
      <c r="F54" s="111"/>
    </row>
    <row r="55" spans="2:6" ht="16.149999999999999" customHeight="1" x14ac:dyDescent="0.25">
      <c r="B55" s="2" t="s">
        <v>351</v>
      </c>
      <c r="C55" s="128"/>
      <c r="D55" s="111"/>
      <c r="E55" s="111"/>
      <c r="F55" s="111"/>
    </row>
    <row r="56" spans="2:6" ht="16.149999999999999" customHeight="1" x14ac:dyDescent="0.25">
      <c r="B56" s="2" t="s">
        <v>352</v>
      </c>
      <c r="C56" s="128"/>
      <c r="D56" s="111"/>
      <c r="E56" s="111"/>
      <c r="F56" s="111"/>
    </row>
    <row r="57" spans="2:6" ht="16.149999999999999" customHeight="1" x14ac:dyDescent="0.25">
      <c r="B57" s="2" t="s">
        <v>353</v>
      </c>
      <c r="C57" s="128"/>
      <c r="D57" s="111"/>
      <c r="E57" s="111"/>
      <c r="F57" s="111"/>
    </row>
    <row r="58" spans="2:6" ht="18" customHeight="1" x14ac:dyDescent="0.25">
      <c r="B58" s="2" t="s">
        <v>354</v>
      </c>
      <c r="C58" s="128"/>
      <c r="D58" s="111"/>
      <c r="E58" s="111"/>
      <c r="F58" s="111"/>
    </row>
    <row r="59" spans="2:6" ht="18" customHeight="1" x14ac:dyDescent="0.25">
      <c r="B59" s="2" t="s">
        <v>355</v>
      </c>
      <c r="C59" s="128"/>
      <c r="D59" s="111"/>
      <c r="E59" s="111"/>
      <c r="F59" s="111"/>
    </row>
    <row r="60" spans="2:6" ht="36" customHeight="1" x14ac:dyDescent="0.25">
      <c r="B60" s="2" t="s">
        <v>356</v>
      </c>
      <c r="C60" s="128"/>
      <c r="D60" s="111"/>
      <c r="E60" s="111"/>
      <c r="F60" s="111"/>
    </row>
    <row r="61" spans="2:6" ht="7.9" customHeight="1" x14ac:dyDescent="0.25"/>
  </sheetData>
  <mergeCells count="46">
    <mergeCell ref="B4:F4"/>
    <mergeCell ref="C52:F52"/>
    <mergeCell ref="C48:F48"/>
    <mergeCell ref="C17:F17"/>
    <mergeCell ref="C23:F23"/>
    <mergeCell ref="C32:F32"/>
    <mergeCell ref="C19:F19"/>
    <mergeCell ref="C35:F35"/>
    <mergeCell ref="C20:F20"/>
    <mergeCell ref="C29:F29"/>
    <mergeCell ref="B1:F1"/>
    <mergeCell ref="B14:F14"/>
    <mergeCell ref="B8:F8"/>
    <mergeCell ref="C24:F24"/>
    <mergeCell ref="C42:F42"/>
    <mergeCell ref="C16:F16"/>
    <mergeCell ref="B15:F15"/>
    <mergeCell ref="C21:F21"/>
    <mergeCell ref="B2:F2"/>
    <mergeCell ref="C34:F34"/>
    <mergeCell ref="C30:F30"/>
    <mergeCell ref="B5:F6"/>
    <mergeCell ref="C33:F33"/>
    <mergeCell ref="B27:F27"/>
    <mergeCell ref="C28:F28"/>
    <mergeCell ref="C18:F18"/>
    <mergeCell ref="C22:F22"/>
    <mergeCell ref="C40:F40"/>
    <mergeCell ref="C31:F31"/>
    <mergeCell ref="C43:F43"/>
    <mergeCell ref="B51:F51"/>
    <mergeCell ref="B39:F39"/>
    <mergeCell ref="C46:F46"/>
    <mergeCell ref="C59:F59"/>
    <mergeCell ref="C60:F60"/>
    <mergeCell ref="C36:F36"/>
    <mergeCell ref="C58:F58"/>
    <mergeCell ref="C45:F45"/>
    <mergeCell ref="C55:F55"/>
    <mergeCell ref="C56:F56"/>
    <mergeCell ref="C57:F57"/>
    <mergeCell ref="C54:F54"/>
    <mergeCell ref="C41:F41"/>
    <mergeCell ref="C47:F47"/>
    <mergeCell ref="C44:F44"/>
    <mergeCell ref="C53:F5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21"/>
  <sheetViews>
    <sheetView showGridLines="0" workbookViewId="0"/>
  </sheetViews>
  <sheetFormatPr defaultRowHeight="15" x14ac:dyDescent="0.25"/>
  <cols>
    <col min="1" max="1" width="3" customWidth="1"/>
    <col min="2" max="2" width="8" customWidth="1"/>
    <col min="3" max="3" width="30" customWidth="1"/>
    <col min="4" max="4" width="36" customWidth="1"/>
    <col min="5" max="5" width="14" customWidth="1"/>
    <col min="6" max="6" width="5" customWidth="1"/>
  </cols>
  <sheetData>
    <row r="1" spans="2:5" ht="31.9" customHeight="1" x14ac:dyDescent="0.25">
      <c r="B1" s="123" t="s">
        <v>360</v>
      </c>
      <c r="C1" s="111"/>
      <c r="D1" s="111"/>
      <c r="E1" s="111"/>
    </row>
    <row r="2" spans="2:5" ht="18" customHeight="1" x14ac:dyDescent="0.25">
      <c r="B2" s="124" t="s">
        <v>361</v>
      </c>
      <c r="C2" s="111"/>
      <c r="D2" s="111"/>
      <c r="E2" s="111"/>
    </row>
    <row r="3" spans="2:5" ht="10.15" customHeight="1" x14ac:dyDescent="0.25"/>
    <row r="4" spans="2:5" ht="19.899999999999999" customHeight="1" x14ac:dyDescent="0.25">
      <c r="B4" s="18" t="s">
        <v>362</v>
      </c>
      <c r="C4" s="18" t="s">
        <v>363</v>
      </c>
      <c r="D4" s="18" t="s">
        <v>364</v>
      </c>
      <c r="E4" s="18" t="s">
        <v>365</v>
      </c>
    </row>
    <row r="5" spans="2:5" ht="36" customHeight="1" x14ac:dyDescent="0.25">
      <c r="B5" s="22" t="s">
        <v>58</v>
      </c>
      <c r="C5" s="22" t="s">
        <v>366</v>
      </c>
      <c r="D5" s="23" t="s">
        <v>367</v>
      </c>
      <c r="E5" s="23" t="s">
        <v>368</v>
      </c>
    </row>
    <row r="6" spans="2:5" ht="36" customHeight="1" x14ac:dyDescent="0.25">
      <c r="B6" s="51" t="s">
        <v>61</v>
      </c>
      <c r="C6" s="51" t="s">
        <v>369</v>
      </c>
      <c r="D6" s="19" t="s">
        <v>370</v>
      </c>
      <c r="E6" s="19" t="s">
        <v>371</v>
      </c>
    </row>
    <row r="7" spans="2:5" ht="36" customHeight="1" x14ac:dyDescent="0.25">
      <c r="B7" s="44" t="s">
        <v>63</v>
      </c>
      <c r="C7" s="44" t="s">
        <v>372</v>
      </c>
      <c r="D7" s="49" t="s">
        <v>373</v>
      </c>
      <c r="E7" s="49" t="s">
        <v>374</v>
      </c>
    </row>
    <row r="8" spans="2:5" ht="36" customHeight="1" x14ac:dyDescent="0.25">
      <c r="B8" s="51" t="s">
        <v>65</v>
      </c>
      <c r="C8" s="51" t="s">
        <v>375</v>
      </c>
      <c r="D8" s="19" t="s">
        <v>376</v>
      </c>
      <c r="E8" s="19" t="s">
        <v>377</v>
      </c>
    </row>
    <row r="9" spans="2:5" ht="36" customHeight="1" x14ac:dyDescent="0.25">
      <c r="B9" s="44" t="s">
        <v>68</v>
      </c>
      <c r="C9" s="44" t="s">
        <v>378</v>
      </c>
      <c r="D9" s="49" t="s">
        <v>379</v>
      </c>
      <c r="E9" s="49" t="s">
        <v>380</v>
      </c>
    </row>
    <row r="10" spans="2:5" ht="36" customHeight="1" x14ac:dyDescent="0.25">
      <c r="B10" s="51" t="s">
        <v>70</v>
      </c>
      <c r="C10" s="51" t="s">
        <v>306</v>
      </c>
      <c r="D10" s="19" t="s">
        <v>381</v>
      </c>
      <c r="E10" s="19" t="s">
        <v>382</v>
      </c>
    </row>
    <row r="11" spans="2:5" ht="36" customHeight="1" x14ac:dyDescent="0.25">
      <c r="B11" s="22" t="s">
        <v>383</v>
      </c>
      <c r="C11" s="22" t="s">
        <v>311</v>
      </c>
      <c r="D11" s="23" t="s">
        <v>384</v>
      </c>
      <c r="E11" s="23" t="s">
        <v>380</v>
      </c>
    </row>
    <row r="12" spans="2:5" ht="10.15" customHeight="1" x14ac:dyDescent="0.25"/>
    <row r="13" spans="2:5" ht="16.149999999999999" customHeight="1" x14ac:dyDescent="0.25">
      <c r="B13" s="110" t="s">
        <v>385</v>
      </c>
      <c r="C13" s="111"/>
      <c r="D13" s="111"/>
      <c r="E13" s="111"/>
    </row>
    <row r="14" spans="2:5" ht="18" customHeight="1" x14ac:dyDescent="0.25">
      <c r="B14" s="76" t="s">
        <v>386</v>
      </c>
      <c r="C14" s="76" t="s">
        <v>387</v>
      </c>
      <c r="D14" s="76" t="s">
        <v>388</v>
      </c>
      <c r="E14" s="76"/>
    </row>
    <row r="15" spans="2:5" ht="28.15" customHeight="1" x14ac:dyDescent="0.25">
      <c r="B15" s="79" t="s">
        <v>389</v>
      </c>
      <c r="C15" s="49" t="s">
        <v>390</v>
      </c>
      <c r="D15" s="136" t="s">
        <v>391</v>
      </c>
      <c r="E15" s="111"/>
    </row>
    <row r="16" spans="2:5" ht="28.15" customHeight="1" x14ac:dyDescent="0.25">
      <c r="B16" s="79" t="s">
        <v>392</v>
      </c>
      <c r="C16" s="19" t="s">
        <v>393</v>
      </c>
      <c r="D16" s="136" t="s">
        <v>394</v>
      </c>
      <c r="E16" s="111"/>
    </row>
    <row r="17" spans="2:5" ht="28.15" customHeight="1" x14ac:dyDescent="0.25">
      <c r="B17" s="79" t="s">
        <v>395</v>
      </c>
      <c r="C17" s="49" t="s">
        <v>396</v>
      </c>
      <c r="D17" s="136" t="s">
        <v>397</v>
      </c>
      <c r="E17" s="111"/>
    </row>
    <row r="18" spans="2:5" ht="28.15" customHeight="1" x14ac:dyDescent="0.25">
      <c r="B18" s="79" t="s">
        <v>398</v>
      </c>
      <c r="C18" s="19" t="s">
        <v>399</v>
      </c>
      <c r="D18" s="136" t="s">
        <v>400</v>
      </c>
      <c r="E18" s="111"/>
    </row>
    <row r="19" spans="2:5" ht="28.15" customHeight="1" x14ac:dyDescent="0.25">
      <c r="B19" s="79" t="s">
        <v>401</v>
      </c>
      <c r="C19" s="49" t="s">
        <v>402</v>
      </c>
      <c r="D19" s="136" t="s">
        <v>403</v>
      </c>
      <c r="E19" s="111"/>
    </row>
    <row r="20" spans="2:5" ht="28.15" customHeight="1" x14ac:dyDescent="0.25">
      <c r="B20" s="79" t="s">
        <v>404</v>
      </c>
      <c r="C20" s="19" t="s">
        <v>405</v>
      </c>
      <c r="D20" s="136" t="s">
        <v>406</v>
      </c>
      <c r="E20" s="111"/>
    </row>
    <row r="21" spans="2:5" ht="28.15" customHeight="1" x14ac:dyDescent="0.25">
      <c r="B21" s="79" t="s">
        <v>407</v>
      </c>
      <c r="C21" s="49" t="s">
        <v>408</v>
      </c>
      <c r="D21" s="136" t="s">
        <v>409</v>
      </c>
      <c r="E21" s="111"/>
    </row>
  </sheetData>
  <mergeCells count="10">
    <mergeCell ref="D21:E21"/>
    <mergeCell ref="D20:E20"/>
    <mergeCell ref="D16:E16"/>
    <mergeCell ref="B1:E1"/>
    <mergeCell ref="D15:E15"/>
    <mergeCell ref="D19:E19"/>
    <mergeCell ref="B13:E13"/>
    <mergeCell ref="B2:E2"/>
    <mergeCell ref="D18:E18"/>
    <mergeCell ref="D17:E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36"/>
  <sheetViews>
    <sheetView showGridLines="0" workbookViewId="0"/>
  </sheetViews>
  <sheetFormatPr defaultRowHeight="15" x14ac:dyDescent="0.25"/>
  <cols>
    <col min="1" max="1" width="3" customWidth="1"/>
    <col min="2" max="2" width="22" customWidth="1"/>
    <col min="3" max="3" width="8" customWidth="1"/>
    <col min="4" max="7" width="20" customWidth="1"/>
    <col min="8" max="8" width="5" customWidth="1"/>
  </cols>
  <sheetData>
    <row r="1" spans="2:7" ht="31.9" customHeight="1" x14ac:dyDescent="0.25">
      <c r="B1" s="123" t="s">
        <v>410</v>
      </c>
      <c r="C1" s="111"/>
      <c r="D1" s="111"/>
      <c r="E1" s="111"/>
      <c r="F1" s="111"/>
      <c r="G1" s="111"/>
    </row>
    <row r="2" spans="2:7" ht="18" customHeight="1" x14ac:dyDescent="0.25">
      <c r="B2" s="124" t="s">
        <v>411</v>
      </c>
      <c r="C2" s="111"/>
      <c r="D2" s="111"/>
      <c r="E2" s="111"/>
      <c r="F2" s="111"/>
      <c r="G2" s="111"/>
    </row>
    <row r="3" spans="2:7" ht="10.15" customHeight="1" x14ac:dyDescent="0.25"/>
    <row r="4" spans="2:7" ht="16.149999999999999" customHeight="1" x14ac:dyDescent="0.25">
      <c r="B4" s="110" t="s">
        <v>412</v>
      </c>
      <c r="C4" s="111"/>
      <c r="D4" s="111"/>
      <c r="E4" s="111"/>
      <c r="F4" s="111"/>
      <c r="G4" s="111"/>
    </row>
    <row r="5" spans="2:7" ht="24" customHeight="1" x14ac:dyDescent="0.25">
      <c r="B5" s="18" t="s">
        <v>413</v>
      </c>
      <c r="C5" s="18" t="s">
        <v>414</v>
      </c>
      <c r="D5" s="18" t="s">
        <v>112</v>
      </c>
      <c r="E5" s="18" t="s">
        <v>415</v>
      </c>
      <c r="F5" s="18" t="s">
        <v>416</v>
      </c>
      <c r="G5" s="18" t="s">
        <v>417</v>
      </c>
    </row>
    <row r="6" spans="2:7" ht="48" customHeight="1" x14ac:dyDescent="0.25">
      <c r="B6" s="22" t="s">
        <v>418</v>
      </c>
      <c r="C6" s="22">
        <v>3</v>
      </c>
      <c r="D6" s="22" t="s">
        <v>419</v>
      </c>
      <c r="E6" s="20" t="s">
        <v>420</v>
      </c>
      <c r="F6" s="25" t="s">
        <v>421</v>
      </c>
      <c r="G6" s="29" t="s">
        <v>422</v>
      </c>
    </row>
    <row r="7" spans="2:7" ht="48" customHeight="1" x14ac:dyDescent="0.25">
      <c r="B7" s="21" t="s">
        <v>423</v>
      </c>
      <c r="C7" s="21">
        <v>3</v>
      </c>
      <c r="D7" s="21" t="s">
        <v>419</v>
      </c>
      <c r="E7" s="20" t="s">
        <v>424</v>
      </c>
      <c r="F7" s="25" t="s">
        <v>425</v>
      </c>
      <c r="G7" s="29" t="s">
        <v>426</v>
      </c>
    </row>
    <row r="8" spans="2:7" ht="48" customHeight="1" x14ac:dyDescent="0.25">
      <c r="B8" s="24" t="s">
        <v>427</v>
      </c>
      <c r="C8" s="24">
        <v>2</v>
      </c>
      <c r="D8" s="24" t="s">
        <v>428</v>
      </c>
      <c r="E8" s="20" t="s">
        <v>429</v>
      </c>
      <c r="F8" s="25" t="s">
        <v>430</v>
      </c>
      <c r="G8" s="29" t="s">
        <v>431</v>
      </c>
    </row>
    <row r="9" spans="2:7" ht="48" customHeight="1" x14ac:dyDescent="0.25">
      <c r="B9" s="37" t="s">
        <v>432</v>
      </c>
      <c r="C9" s="37">
        <v>3</v>
      </c>
      <c r="D9" s="37" t="s">
        <v>419</v>
      </c>
      <c r="E9" s="20" t="s">
        <v>433</v>
      </c>
      <c r="F9" s="25" t="s">
        <v>434</v>
      </c>
      <c r="G9" s="29" t="s">
        <v>435</v>
      </c>
    </row>
    <row r="10" spans="2:7" ht="48" customHeight="1" x14ac:dyDescent="0.25">
      <c r="B10" s="44" t="s">
        <v>436</v>
      </c>
      <c r="C10" s="44">
        <v>2</v>
      </c>
      <c r="D10" s="44" t="s">
        <v>428</v>
      </c>
      <c r="E10" s="20" t="s">
        <v>437</v>
      </c>
      <c r="F10" s="25" t="s">
        <v>438</v>
      </c>
      <c r="G10" s="29" t="s">
        <v>439</v>
      </c>
    </row>
    <row r="11" spans="2:7" ht="48" customHeight="1" x14ac:dyDescent="0.25">
      <c r="B11" s="51" t="s">
        <v>440</v>
      </c>
      <c r="C11" s="51">
        <v>1</v>
      </c>
      <c r="D11" s="51" t="s">
        <v>441</v>
      </c>
      <c r="E11" s="20" t="s">
        <v>442</v>
      </c>
      <c r="F11" s="25" t="s">
        <v>443</v>
      </c>
      <c r="G11" s="29" t="s">
        <v>444</v>
      </c>
    </row>
    <row r="12" spans="2:7" ht="48" customHeight="1" x14ac:dyDescent="0.25">
      <c r="B12" s="22" t="s">
        <v>445</v>
      </c>
      <c r="C12" s="22">
        <v>1</v>
      </c>
      <c r="D12" s="22" t="s">
        <v>441</v>
      </c>
      <c r="E12" s="20" t="s">
        <v>446</v>
      </c>
      <c r="F12" s="25" t="s">
        <v>447</v>
      </c>
      <c r="G12" s="29" t="s">
        <v>448</v>
      </c>
    </row>
    <row r="13" spans="2:7" ht="24" customHeight="1" x14ac:dyDescent="0.25">
      <c r="B13" s="137" t="s">
        <v>449</v>
      </c>
      <c r="C13" s="111"/>
      <c r="D13" s="111"/>
      <c r="E13" s="80">
        <f>SUM(C6:C12)</f>
        <v>15</v>
      </c>
      <c r="F13" s="137" t="s">
        <v>450</v>
      </c>
      <c r="G13" s="111"/>
    </row>
    <row r="14" spans="2:7" ht="10.15" customHeight="1" x14ac:dyDescent="0.25"/>
    <row r="15" spans="2:7" ht="16.149999999999999" customHeight="1" x14ac:dyDescent="0.25">
      <c r="B15" s="110" t="s">
        <v>451</v>
      </c>
      <c r="C15" s="111"/>
      <c r="D15" s="111"/>
      <c r="E15" s="111"/>
      <c r="F15" s="111"/>
      <c r="G15" s="111"/>
    </row>
    <row r="16" spans="2:7" ht="18" customHeight="1" x14ac:dyDescent="0.25">
      <c r="B16" s="18" t="s">
        <v>414</v>
      </c>
      <c r="C16" s="18" t="s">
        <v>452</v>
      </c>
      <c r="D16" s="18" t="s">
        <v>453</v>
      </c>
      <c r="E16" s="18"/>
      <c r="F16" s="18"/>
      <c r="G16" s="18"/>
    </row>
    <row r="17" spans="2:7" ht="24" customHeight="1" x14ac:dyDescent="0.25">
      <c r="B17" s="81" t="s">
        <v>454</v>
      </c>
      <c r="C17" s="21" t="s">
        <v>455</v>
      </c>
      <c r="D17" s="141" t="s">
        <v>456</v>
      </c>
      <c r="E17" s="111"/>
      <c r="F17" s="111"/>
      <c r="G17" s="111"/>
    </row>
    <row r="18" spans="2:7" ht="24" customHeight="1" x14ac:dyDescent="0.25">
      <c r="B18" s="82" t="s">
        <v>457</v>
      </c>
      <c r="C18" s="22" t="s">
        <v>458</v>
      </c>
      <c r="D18" s="142" t="s">
        <v>459</v>
      </c>
      <c r="E18" s="111"/>
      <c r="F18" s="111"/>
      <c r="G18" s="111"/>
    </row>
    <row r="19" spans="2:7" ht="24" customHeight="1" x14ac:dyDescent="0.25">
      <c r="B19" s="83" t="s">
        <v>460</v>
      </c>
      <c r="C19" s="24" t="s">
        <v>461</v>
      </c>
      <c r="D19" s="139" t="s">
        <v>462</v>
      </c>
      <c r="E19" s="111"/>
      <c r="F19" s="111"/>
      <c r="G19" s="111"/>
    </row>
    <row r="20" spans="2:7" ht="24" customHeight="1" x14ac:dyDescent="0.25">
      <c r="B20" s="84" t="s">
        <v>463</v>
      </c>
      <c r="C20" s="26" t="s">
        <v>464</v>
      </c>
      <c r="D20" s="138" t="s">
        <v>465</v>
      </c>
      <c r="E20" s="111"/>
      <c r="F20" s="111"/>
      <c r="G20" s="111"/>
    </row>
    <row r="21" spans="2:7" ht="24" customHeight="1" x14ac:dyDescent="0.25">
      <c r="B21" s="85" t="s">
        <v>466</v>
      </c>
      <c r="C21" s="28" t="s">
        <v>467</v>
      </c>
      <c r="D21" s="140" t="s">
        <v>468</v>
      </c>
      <c r="E21" s="111"/>
      <c r="F21" s="111"/>
      <c r="G21" s="111"/>
    </row>
    <row r="22" spans="2:7" ht="10.15" customHeight="1" x14ac:dyDescent="0.25"/>
    <row r="23" spans="2:7" ht="16.149999999999999" customHeight="1" x14ac:dyDescent="0.25">
      <c r="B23" s="110" t="s">
        <v>469</v>
      </c>
      <c r="C23" s="111"/>
      <c r="D23" s="111"/>
      <c r="E23" s="111"/>
      <c r="F23" s="111"/>
      <c r="G23" s="111"/>
    </row>
    <row r="24" spans="2:7" ht="18" customHeight="1" x14ac:dyDescent="0.25">
      <c r="B24" s="18" t="s">
        <v>54</v>
      </c>
      <c r="C24" s="143" t="s">
        <v>260</v>
      </c>
      <c r="D24" s="120"/>
      <c r="E24" s="18"/>
      <c r="F24" s="18" t="s">
        <v>470</v>
      </c>
      <c r="G24" s="18" t="s">
        <v>414</v>
      </c>
    </row>
    <row r="25" spans="2:7" ht="19.899999999999999" customHeight="1" x14ac:dyDescent="0.25">
      <c r="B25" s="59" t="s">
        <v>58</v>
      </c>
      <c r="C25" s="130" t="s">
        <v>471</v>
      </c>
      <c r="D25" s="111"/>
      <c r="E25" s="111"/>
      <c r="F25" s="60"/>
      <c r="G25" s="60"/>
    </row>
    <row r="26" spans="2:7" ht="19.899999999999999" customHeight="1" x14ac:dyDescent="0.25">
      <c r="B26" s="62" t="s">
        <v>61</v>
      </c>
      <c r="C26" s="118" t="s">
        <v>472</v>
      </c>
      <c r="D26" s="111"/>
      <c r="E26" s="111"/>
      <c r="F26" s="60"/>
      <c r="G26" s="60"/>
    </row>
    <row r="27" spans="2:7" ht="19.899999999999999" customHeight="1" x14ac:dyDescent="0.25">
      <c r="B27" s="59" t="s">
        <v>63</v>
      </c>
      <c r="C27" s="130" t="s">
        <v>473</v>
      </c>
      <c r="D27" s="111"/>
      <c r="E27" s="111"/>
      <c r="F27" s="60"/>
      <c r="G27" s="60"/>
    </row>
    <row r="28" spans="2:7" ht="19.899999999999999" customHeight="1" x14ac:dyDescent="0.25">
      <c r="B28" s="62" t="s">
        <v>65</v>
      </c>
      <c r="C28" s="118" t="s">
        <v>474</v>
      </c>
      <c r="D28" s="111"/>
      <c r="E28" s="111"/>
      <c r="F28" s="60"/>
      <c r="G28" s="60"/>
    </row>
    <row r="29" spans="2:7" ht="19.899999999999999" customHeight="1" x14ac:dyDescent="0.25">
      <c r="B29" s="59" t="s">
        <v>68</v>
      </c>
      <c r="C29" s="130" t="s">
        <v>475</v>
      </c>
      <c r="D29" s="111"/>
      <c r="E29" s="111"/>
      <c r="F29" s="60"/>
      <c r="G29" s="60"/>
    </row>
    <row r="30" spans="2:7" ht="19.899999999999999" customHeight="1" x14ac:dyDescent="0.25">
      <c r="B30" s="62" t="s">
        <v>70</v>
      </c>
      <c r="C30" s="118" t="s">
        <v>476</v>
      </c>
      <c r="D30" s="111"/>
      <c r="E30" s="111"/>
      <c r="F30" s="60"/>
      <c r="G30" s="60"/>
    </row>
    <row r="31" spans="2:7" ht="19.899999999999999" customHeight="1" x14ac:dyDescent="0.25">
      <c r="B31" s="59" t="s">
        <v>383</v>
      </c>
      <c r="C31" s="130" t="s">
        <v>477</v>
      </c>
      <c r="D31" s="111"/>
      <c r="E31" s="111"/>
      <c r="F31" s="60"/>
      <c r="G31" s="60"/>
    </row>
    <row r="32" spans="2:7" ht="19.899999999999999" customHeight="1" x14ac:dyDescent="0.25">
      <c r="B32" s="62" t="s">
        <v>478</v>
      </c>
      <c r="C32" s="118" t="s">
        <v>479</v>
      </c>
      <c r="D32" s="111"/>
      <c r="E32" s="111"/>
      <c r="F32" s="60"/>
      <c r="G32" s="60"/>
    </row>
    <row r="33" spans="2:7" ht="19.899999999999999" customHeight="1" x14ac:dyDescent="0.25">
      <c r="B33" s="59" t="s">
        <v>480</v>
      </c>
      <c r="C33" s="130" t="s">
        <v>481</v>
      </c>
      <c r="D33" s="111"/>
      <c r="E33" s="111"/>
      <c r="F33" s="60"/>
      <c r="G33" s="60"/>
    </row>
    <row r="34" spans="2:7" ht="19.899999999999999" customHeight="1" x14ac:dyDescent="0.25">
      <c r="B34" s="62" t="s">
        <v>482</v>
      </c>
      <c r="C34" s="118" t="s">
        <v>483</v>
      </c>
      <c r="D34" s="111"/>
      <c r="E34" s="111"/>
      <c r="F34" s="60"/>
      <c r="G34" s="60"/>
    </row>
    <row r="35" spans="2:7" ht="19.899999999999999" customHeight="1" x14ac:dyDescent="0.25">
      <c r="B35" s="59" t="s">
        <v>484</v>
      </c>
      <c r="C35" s="130" t="s">
        <v>485</v>
      </c>
      <c r="D35" s="111"/>
      <c r="E35" s="111"/>
      <c r="F35" s="60"/>
      <c r="G35" s="60"/>
    </row>
    <row r="36" spans="2:7" ht="19.899999999999999" customHeight="1" x14ac:dyDescent="0.25">
      <c r="B36" s="62" t="s">
        <v>486</v>
      </c>
      <c r="C36" s="118" t="s">
        <v>487</v>
      </c>
      <c r="D36" s="111"/>
      <c r="E36" s="111"/>
      <c r="F36" s="60"/>
      <c r="G36" s="60"/>
    </row>
  </sheetData>
  <mergeCells count="25">
    <mergeCell ref="C33:E33"/>
    <mergeCell ref="D17:G17"/>
    <mergeCell ref="B2:G2"/>
    <mergeCell ref="D18:G18"/>
    <mergeCell ref="C24:D24"/>
    <mergeCell ref="C31:E31"/>
    <mergeCell ref="B23:G23"/>
    <mergeCell ref="C26:E26"/>
    <mergeCell ref="C29:E29"/>
    <mergeCell ref="C35:E35"/>
    <mergeCell ref="C25:E25"/>
    <mergeCell ref="B1:G1"/>
    <mergeCell ref="B13:D13"/>
    <mergeCell ref="C36:E36"/>
    <mergeCell ref="C27:E27"/>
    <mergeCell ref="D20:G20"/>
    <mergeCell ref="D19:G19"/>
    <mergeCell ref="B15:G15"/>
    <mergeCell ref="C32:E32"/>
    <mergeCell ref="C28:E28"/>
    <mergeCell ref="D21:G21"/>
    <mergeCell ref="B4:G4"/>
    <mergeCell ref="F13:G13"/>
    <mergeCell ref="C30:E30"/>
    <mergeCell ref="C34:E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26"/>
  <sheetViews>
    <sheetView showGridLines="0" workbookViewId="0"/>
  </sheetViews>
  <sheetFormatPr defaultRowHeight="15" x14ac:dyDescent="0.25"/>
  <cols>
    <col min="1" max="1" width="3" customWidth="1"/>
    <col min="2" max="2" width="5" customWidth="1"/>
    <col min="3" max="3" width="22" customWidth="1"/>
    <col min="4" max="5" width="20" customWidth="1"/>
    <col min="6" max="6" width="8" customWidth="1"/>
    <col min="7" max="7" width="22" customWidth="1"/>
    <col min="8" max="8" width="5" customWidth="1"/>
  </cols>
  <sheetData>
    <row r="1" spans="2:7" ht="31.9" customHeight="1" x14ac:dyDescent="0.25">
      <c r="B1" s="123" t="s">
        <v>488</v>
      </c>
      <c r="C1" s="111"/>
      <c r="D1" s="111"/>
      <c r="E1" s="111"/>
      <c r="F1" s="111"/>
      <c r="G1" s="111"/>
    </row>
    <row r="2" spans="2:7" ht="7.9" customHeight="1" x14ac:dyDescent="0.25"/>
    <row r="3" spans="2:7" ht="22.15" customHeight="1" x14ac:dyDescent="0.25">
      <c r="B3" s="18" t="s">
        <v>54</v>
      </c>
      <c r="C3" s="18" t="s">
        <v>293</v>
      </c>
      <c r="D3" s="18" t="s">
        <v>489</v>
      </c>
      <c r="E3" s="18" t="s">
        <v>490</v>
      </c>
      <c r="F3" s="18" t="s">
        <v>112</v>
      </c>
      <c r="G3" s="18" t="s">
        <v>491</v>
      </c>
    </row>
    <row r="4" spans="2:7" ht="42" customHeight="1" x14ac:dyDescent="0.25">
      <c r="B4" s="86">
        <v>1</v>
      </c>
      <c r="C4" s="87" t="s">
        <v>492</v>
      </c>
      <c r="D4" s="88" t="s">
        <v>493</v>
      </c>
      <c r="E4" s="22" t="s">
        <v>494</v>
      </c>
      <c r="F4" s="30" t="s">
        <v>116</v>
      </c>
      <c r="G4" s="19" t="s">
        <v>495</v>
      </c>
    </row>
    <row r="5" spans="2:7" ht="42" customHeight="1" x14ac:dyDescent="0.25">
      <c r="B5" s="89">
        <v>2</v>
      </c>
      <c r="C5" s="90" t="s">
        <v>496</v>
      </c>
      <c r="D5" s="91" t="s">
        <v>497</v>
      </c>
      <c r="E5" s="51" t="s">
        <v>498</v>
      </c>
      <c r="F5" s="92" t="s">
        <v>119</v>
      </c>
      <c r="G5" s="19" t="s">
        <v>499</v>
      </c>
    </row>
    <row r="6" spans="2:7" ht="42" customHeight="1" x14ac:dyDescent="0.25">
      <c r="B6" s="93">
        <v>3</v>
      </c>
      <c r="C6" s="94" t="s">
        <v>500</v>
      </c>
      <c r="D6" s="95" t="s">
        <v>501</v>
      </c>
      <c r="E6" s="37" t="s">
        <v>502</v>
      </c>
      <c r="F6" s="38" t="s">
        <v>122</v>
      </c>
      <c r="G6" s="19" t="s">
        <v>503</v>
      </c>
    </row>
    <row r="7" spans="2:7" ht="42" customHeight="1" x14ac:dyDescent="0.25">
      <c r="B7" s="64">
        <v>4</v>
      </c>
      <c r="C7" s="96" t="s">
        <v>504</v>
      </c>
      <c r="D7" s="97" t="s">
        <v>505</v>
      </c>
      <c r="E7" s="24" t="s">
        <v>506</v>
      </c>
      <c r="F7" s="41" t="s">
        <v>116</v>
      </c>
      <c r="G7" s="19" t="s">
        <v>507</v>
      </c>
    </row>
    <row r="8" spans="2:7" ht="42" customHeight="1" x14ac:dyDescent="0.25">
      <c r="B8" s="98">
        <v>5</v>
      </c>
      <c r="C8" s="99" t="s">
        <v>342</v>
      </c>
      <c r="D8" s="100" t="s">
        <v>508</v>
      </c>
      <c r="E8" s="44" t="s">
        <v>509</v>
      </c>
      <c r="F8" s="45" t="s">
        <v>116</v>
      </c>
      <c r="G8" s="19" t="s">
        <v>510</v>
      </c>
    </row>
    <row r="9" spans="2:7" ht="42" customHeight="1" x14ac:dyDescent="0.25">
      <c r="B9" s="101">
        <v>6</v>
      </c>
      <c r="C9" s="102" t="s">
        <v>338</v>
      </c>
      <c r="D9" s="103" t="s">
        <v>511</v>
      </c>
      <c r="E9" s="21" t="s">
        <v>512</v>
      </c>
      <c r="F9" s="34" t="s">
        <v>116</v>
      </c>
      <c r="G9" s="19" t="s">
        <v>513</v>
      </c>
    </row>
    <row r="10" spans="2:7" ht="42" customHeight="1" x14ac:dyDescent="0.25">
      <c r="B10" s="89">
        <v>7</v>
      </c>
      <c r="C10" s="90" t="s">
        <v>514</v>
      </c>
      <c r="D10" s="91" t="s">
        <v>515</v>
      </c>
      <c r="E10" s="51" t="s">
        <v>516</v>
      </c>
      <c r="F10" s="92" t="s">
        <v>131</v>
      </c>
      <c r="G10" s="19" t="s">
        <v>517</v>
      </c>
    </row>
    <row r="11" spans="2:7" ht="42" customHeight="1" x14ac:dyDescent="0.25">
      <c r="B11" s="86">
        <v>8</v>
      </c>
      <c r="C11" s="87" t="s">
        <v>518</v>
      </c>
      <c r="D11" s="88" t="s">
        <v>519</v>
      </c>
      <c r="E11" s="22" t="s">
        <v>520</v>
      </c>
      <c r="F11" s="30" t="s">
        <v>122</v>
      </c>
      <c r="G11" s="19" t="s">
        <v>521</v>
      </c>
    </row>
    <row r="12" spans="2:7" ht="10.15" customHeight="1" x14ac:dyDescent="0.25"/>
    <row r="13" spans="2:7" ht="16.149999999999999" customHeight="1" x14ac:dyDescent="0.25">
      <c r="B13" s="110" t="s">
        <v>522</v>
      </c>
      <c r="C13" s="111"/>
      <c r="D13" s="111"/>
      <c r="E13" s="111"/>
      <c r="F13" s="111"/>
      <c r="G13" s="111"/>
    </row>
    <row r="14" spans="2:7" ht="18" customHeight="1" x14ac:dyDescent="0.25">
      <c r="B14" s="17" t="s">
        <v>523</v>
      </c>
      <c r="C14" s="119" t="s">
        <v>524</v>
      </c>
      <c r="D14" s="121"/>
      <c r="E14" s="120"/>
      <c r="F14" s="119" t="s">
        <v>525</v>
      </c>
      <c r="G14" s="120"/>
    </row>
    <row r="15" spans="2:7" ht="30" customHeight="1" x14ac:dyDescent="0.25">
      <c r="B15" s="24" t="s">
        <v>526</v>
      </c>
      <c r="C15" s="130" t="s">
        <v>527</v>
      </c>
      <c r="D15" s="111"/>
      <c r="E15" s="111"/>
      <c r="F15" s="145" t="s">
        <v>528</v>
      </c>
      <c r="G15" s="111"/>
    </row>
    <row r="16" spans="2:7" ht="30" customHeight="1" x14ac:dyDescent="0.25">
      <c r="B16" s="24" t="s">
        <v>529</v>
      </c>
      <c r="C16" s="118" t="s">
        <v>530</v>
      </c>
      <c r="D16" s="111"/>
      <c r="E16" s="111"/>
      <c r="F16" s="145" t="s">
        <v>531</v>
      </c>
      <c r="G16" s="111"/>
    </row>
    <row r="17" spans="2:7" ht="30" customHeight="1" x14ac:dyDescent="0.25">
      <c r="B17" s="24" t="s">
        <v>532</v>
      </c>
      <c r="C17" s="130" t="s">
        <v>533</v>
      </c>
      <c r="D17" s="111"/>
      <c r="E17" s="111"/>
      <c r="F17" s="145" t="s">
        <v>534</v>
      </c>
      <c r="G17" s="111"/>
    </row>
    <row r="18" spans="2:7" ht="30" customHeight="1" x14ac:dyDescent="0.25">
      <c r="B18" s="24" t="s">
        <v>535</v>
      </c>
      <c r="C18" s="118" t="s">
        <v>536</v>
      </c>
      <c r="D18" s="111"/>
      <c r="E18" s="111"/>
      <c r="F18" s="145" t="s">
        <v>537</v>
      </c>
      <c r="G18" s="111"/>
    </row>
    <row r="19" spans="2:7" ht="10.15" customHeight="1" x14ac:dyDescent="0.25"/>
    <row r="20" spans="2:7" ht="16.149999999999999" customHeight="1" x14ac:dyDescent="0.25">
      <c r="B20" s="110" t="s">
        <v>538</v>
      </c>
      <c r="C20" s="111"/>
      <c r="D20" s="111"/>
      <c r="E20" s="111"/>
      <c r="F20" s="111"/>
      <c r="G20" s="111"/>
    </row>
    <row r="21" spans="2:7" ht="18" customHeight="1" x14ac:dyDescent="0.25">
      <c r="B21" s="18" t="s">
        <v>73</v>
      </c>
      <c r="C21" s="18" t="s">
        <v>74</v>
      </c>
      <c r="D21" s="143" t="s">
        <v>75</v>
      </c>
      <c r="E21" s="120"/>
      <c r="F21" s="143" t="s">
        <v>539</v>
      </c>
      <c r="G21" s="120"/>
    </row>
    <row r="22" spans="2:7" ht="24" customHeight="1" x14ac:dyDescent="0.25">
      <c r="B22" s="104">
        <v>5</v>
      </c>
      <c r="C22" s="81" t="s">
        <v>77</v>
      </c>
      <c r="D22" s="141" t="s">
        <v>78</v>
      </c>
      <c r="E22" s="111"/>
      <c r="F22" s="144" t="s">
        <v>79</v>
      </c>
      <c r="G22" s="111"/>
    </row>
    <row r="23" spans="2:7" ht="24" customHeight="1" x14ac:dyDescent="0.25">
      <c r="B23" s="105">
        <v>4</v>
      </c>
      <c r="C23" s="82" t="s">
        <v>80</v>
      </c>
      <c r="D23" s="142" t="s">
        <v>81</v>
      </c>
      <c r="E23" s="111"/>
      <c r="F23" s="144" t="s">
        <v>82</v>
      </c>
      <c r="G23" s="111"/>
    </row>
    <row r="24" spans="2:7" ht="24" customHeight="1" x14ac:dyDescent="0.25">
      <c r="B24" s="54">
        <v>3</v>
      </c>
      <c r="C24" s="83" t="s">
        <v>83</v>
      </c>
      <c r="D24" s="139" t="s">
        <v>84</v>
      </c>
      <c r="E24" s="111"/>
      <c r="F24" s="144" t="s">
        <v>85</v>
      </c>
      <c r="G24" s="111"/>
    </row>
    <row r="25" spans="2:7" ht="24" customHeight="1" x14ac:dyDescent="0.25">
      <c r="B25" s="106">
        <v>2</v>
      </c>
      <c r="C25" s="84" t="s">
        <v>86</v>
      </c>
      <c r="D25" s="138" t="s">
        <v>87</v>
      </c>
      <c r="E25" s="111"/>
      <c r="F25" s="144" t="s">
        <v>88</v>
      </c>
      <c r="G25" s="111"/>
    </row>
    <row r="26" spans="2:7" ht="24" customHeight="1" x14ac:dyDescent="0.25">
      <c r="B26" s="107">
        <v>1</v>
      </c>
      <c r="C26" s="85" t="s">
        <v>89</v>
      </c>
      <c r="D26" s="140" t="s">
        <v>90</v>
      </c>
      <c r="E26" s="111"/>
      <c r="F26" s="144" t="s">
        <v>91</v>
      </c>
      <c r="G26" s="111"/>
    </row>
  </sheetData>
  <mergeCells count="25">
    <mergeCell ref="C16:E16"/>
    <mergeCell ref="F16:G16"/>
    <mergeCell ref="F25:G25"/>
    <mergeCell ref="B1:G1"/>
    <mergeCell ref="D22:E22"/>
    <mergeCell ref="B13:G13"/>
    <mergeCell ref="D21:E21"/>
    <mergeCell ref="F21:G21"/>
    <mergeCell ref="F24:G24"/>
    <mergeCell ref="F15:G15"/>
    <mergeCell ref="F18:G18"/>
    <mergeCell ref="C17:E17"/>
    <mergeCell ref="C15:E15"/>
    <mergeCell ref="C14:E14"/>
    <mergeCell ref="F14:G14"/>
    <mergeCell ref="F26:G26"/>
    <mergeCell ref="F17:G17"/>
    <mergeCell ref="B20:G20"/>
    <mergeCell ref="F23:G23"/>
    <mergeCell ref="C18:E18"/>
    <mergeCell ref="F22:G22"/>
    <mergeCell ref="D25:E25"/>
    <mergeCell ref="D24:E24"/>
    <mergeCell ref="D23:E23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Session Setup</vt:lpstr>
      <vt:lpstr>🔍 Exp A — Walkthrough</vt:lpstr>
      <vt:lpstr>📱 Exp B — App 1 (Ch 1–4)</vt:lpstr>
      <vt:lpstr>📱 Exp C — App 1 (All 8)</vt:lpstr>
      <vt:lpstr>📱 Exp C — App 2 (All 8)</vt:lpstr>
      <vt:lpstr>📊 Exp D — Comparative</vt:lpstr>
      <vt:lpstr>💡 Recommendations</vt:lpstr>
      <vt:lpstr>📄 Report Outline</vt:lpstr>
      <vt:lpstr>🏆 Grading Rubric</vt:lpstr>
      <vt:lpstr>📖 ISO 25010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</cp:lastModifiedBy>
  <dcterms:created xsi:type="dcterms:W3CDTF">2026-04-14T07:57:04Z</dcterms:created>
  <dcterms:modified xsi:type="dcterms:W3CDTF">2026-04-22T11:58:14Z</dcterms:modified>
</cp:coreProperties>
</file>