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user\Documents\6th Semester Labs\Software Quality Engeering\"/>
    </mc:Choice>
  </mc:AlternateContent>
  <xr:revisionPtr revIDLastSave="0" documentId="13_ncr:1_{86E427B4-8905-4E8D-83B3-02951D917C7C}" xr6:coauthVersionLast="47" xr6:coauthVersionMax="47" xr10:uidLastSave="{00000000-0000-0000-0000-000000000000}"/>
  <bookViews>
    <workbookView xWindow="-120" yWindow="-120" windowWidth="24240" windowHeight="13140" tabRatio="500" activeTab="8" xr2:uid="{00000000-000D-0000-FFFF-FFFF00000000}"/>
  </bookViews>
  <sheets>
    <sheet name="📋 Session Setup" sheetId="1" r:id="rId1"/>
    <sheet name="📱 Structured — App 1" sheetId="2" r:id="rId2"/>
    <sheet name="📱 Structured — App 2" sheetId="3" r:id="rId3"/>
    <sheet name="App 1 (All 8)" sheetId="4" r:id="rId4"/>
    <sheet name="App 2 (All 8)" sheetId="5" r:id="rId5"/>
    <sheet name="📊 Comparative" sheetId="6" r:id="rId6"/>
    <sheet name="💡 Recommendations" sheetId="7" r:id="rId7"/>
    <sheet name="📄 Report Outline" sheetId="8" r:id="rId8"/>
    <sheet name="🏆 Grading Rubric" sheetId="9" r:id="rId9"/>
    <sheet name="📖 ISO 25010 Reference" sheetId="10" r:id="rId10"/>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13" i="9" l="1"/>
  <c r="E31" i="6"/>
  <c r="G31" i="6" s="1"/>
  <c r="D31" i="6"/>
  <c r="F31" i="6" s="1"/>
  <c r="E30" i="6"/>
  <c r="G30" i="6" s="1"/>
  <c r="D30" i="6"/>
  <c r="F30" i="6" s="1"/>
  <c r="E29" i="6"/>
  <c r="G29" i="6" s="1"/>
  <c r="D29" i="6"/>
  <c r="F29" i="6" s="1"/>
  <c r="E28" i="6"/>
  <c r="G28" i="6" s="1"/>
  <c r="D28" i="6"/>
  <c r="F28" i="6" s="1"/>
  <c r="E27" i="6"/>
  <c r="G27" i="6" s="1"/>
  <c r="D27" i="6"/>
  <c r="F27" i="6" s="1"/>
  <c r="E26" i="6"/>
  <c r="G26" i="6" s="1"/>
  <c r="D26" i="6"/>
  <c r="F26" i="6" s="1"/>
  <c r="E25" i="6"/>
  <c r="G25" i="6" s="1"/>
  <c r="D25" i="6"/>
  <c r="F25" i="6" s="1"/>
  <c r="E24" i="6"/>
  <c r="G24" i="6" s="1"/>
  <c r="D24" i="6"/>
  <c r="F24" i="6" s="1"/>
  <c r="E19" i="6"/>
  <c r="D19" i="6"/>
  <c r="G17" i="6"/>
  <c r="F17" i="6"/>
  <c r="G16" i="6"/>
  <c r="F16" i="6"/>
  <c r="G15" i="6"/>
  <c r="F15" i="6"/>
  <c r="G14" i="6"/>
  <c r="F14" i="6"/>
  <c r="G13" i="6"/>
  <c r="F13" i="6"/>
  <c r="G12" i="6"/>
  <c r="F12" i="6"/>
  <c r="G11" i="6"/>
  <c r="F11" i="6"/>
  <c r="G10" i="6"/>
  <c r="F10" i="6"/>
  <c r="F20" i="4"/>
  <c r="F19" i="4"/>
  <c r="F18" i="4"/>
  <c r="F17" i="4"/>
  <c r="F16" i="4"/>
  <c r="F15" i="4"/>
  <c r="F14" i="4"/>
  <c r="F13" i="4"/>
  <c r="F20" i="5"/>
  <c r="F19" i="5"/>
  <c r="F18" i="5"/>
  <c r="F17" i="5"/>
  <c r="F16" i="5"/>
  <c r="F15" i="5"/>
  <c r="F14" i="5"/>
  <c r="F13" i="5"/>
  <c r="G19" i="6" l="1"/>
  <c r="F21" i="5"/>
  <c r="F21" i="4"/>
  <c r="F19" i="6"/>
</calcChain>
</file>

<file path=xl/sharedStrings.xml><?xml version="1.0" encoding="utf-8"?>
<sst xmlns="http://schemas.openxmlformats.org/spreadsheetml/2006/main" count="1177" uniqueCount="682">
  <si>
    <t>SQE Lab Session 2 — ISO 25010 Quality Attribute Analysis</t>
  </si>
  <si>
    <t>Software Quality Engineering  |  Lab Manual  |  Engr. Asim Javaid</t>
  </si>
  <si>
    <t xml:space="preserve">  STUDENT INFORMATION</t>
  </si>
  <si>
    <t>Evaluator Full Name</t>
  </si>
  <si>
    <t>Student ID</t>
  </si>
  <si>
    <t>Section / Group</t>
  </si>
  <si>
    <t>Date of Evaluation</t>
  </si>
  <si>
    <t>Device Model</t>
  </si>
  <si>
    <t>OS Version</t>
  </si>
  <si>
    <t>Network Conditions</t>
  </si>
  <si>
    <t>e.g. Campus WiFi / 4G</t>
  </si>
  <si>
    <t xml:space="preserve">  APPLICATION PAIR SELECTION</t>
  </si>
  <si>
    <t>Choose ONE pair below. Circle / highlight your selection.</t>
  </si>
  <si>
    <t>Pair</t>
  </si>
  <si>
    <t>App 1</t>
  </si>
  <si>
    <t>App 2</t>
  </si>
  <si>
    <t>Primary Focus</t>
  </si>
  <si>
    <t>A</t>
  </si>
  <si>
    <t>WhatsApp</t>
  </si>
  <si>
    <t>Telegram</t>
  </si>
  <si>
    <t>Security, Usability, Reliability — closed vs open E2E encryption</t>
  </si>
  <si>
    <t>B</t>
  </si>
  <si>
    <t>Google Maps</t>
  </si>
  <si>
    <t>Apple Maps</t>
  </si>
  <si>
    <t>Performance, Compatibility, Usability — navigation design philosophies</t>
  </si>
  <si>
    <t>C</t>
  </si>
  <si>
    <t>Gmail</t>
  </si>
  <si>
    <t>Outlook Mobile</t>
  </si>
  <si>
    <t>Functional Suitability, Usability, Portability — email client comparison</t>
  </si>
  <si>
    <t>D</t>
  </si>
  <si>
    <t>Chrome Mobile</t>
  </si>
  <si>
    <t>Safari</t>
  </si>
  <si>
    <t>Performance, Compatibility, Security — native vs cross-platform</t>
  </si>
  <si>
    <t>E</t>
  </si>
  <si>
    <t>Spotify</t>
  </si>
  <si>
    <t>YouTube Music</t>
  </si>
  <si>
    <t>Performance, Reliability, Usability — streaming service quality</t>
  </si>
  <si>
    <t>F</t>
  </si>
  <si>
    <t>University App 1</t>
  </si>
  <si>
    <t>University App 2</t>
  </si>
  <si>
    <t>Full ISO 25010 analysis — choose any two university-context apps</t>
  </si>
  <si>
    <t xml:space="preserve">  SELECTED PAIR — Fill in below</t>
  </si>
  <si>
    <t>Pair Letter</t>
  </si>
  <si>
    <t>App 1 Name</t>
  </si>
  <si>
    <t>App 2 Name</t>
  </si>
  <si>
    <t xml:space="preserve">  APP VERSION METADATA</t>
  </si>
  <si>
    <t>Field</t>
  </si>
  <si>
    <t>App Name</t>
  </si>
  <si>
    <t>Version Number</t>
  </si>
  <si>
    <t>Platform</t>
  </si>
  <si>
    <t>Min OS Required</t>
  </si>
  <si>
    <t>App Store Rating</t>
  </si>
  <si>
    <t>Last Updated</t>
  </si>
  <si>
    <t xml:space="preserve">  PRE-LAB CHECKLIST</t>
  </si>
  <si>
    <t>#</t>
  </si>
  <si>
    <t>Task</t>
  </si>
  <si>
    <t>When</t>
  </si>
  <si>
    <t>Status (✓ / ✗)</t>
  </si>
  <si>
    <t>1</t>
  </si>
  <si>
    <t>Read ISO/IEC 25010 Sections 1–4 overview</t>
  </si>
  <si>
    <t>Before Lab</t>
  </si>
  <si>
    <t>2</t>
  </si>
  <si>
    <t>Identify 3 daily apps &amp; note one quality concern each</t>
  </si>
  <si>
    <t>3</t>
  </si>
  <si>
    <t>Ensure both apps in chosen pair are installed on device</t>
  </si>
  <si>
    <t>4</t>
  </si>
  <si>
    <t>Bring device with stopwatch / timer capability</t>
  </si>
  <si>
    <t>Lab Start</t>
  </si>
  <si>
    <t>5</t>
  </si>
  <si>
    <t>Have GitHub repository from Lab 1 open (week2/ folder)</t>
  </si>
  <si>
    <t>6</t>
  </si>
  <si>
    <t>Install matplotlib: pip install matplotlib numpy</t>
  </si>
  <si>
    <t xml:space="preserve">  RATING SCALE QUICK REFERENCE</t>
  </si>
  <si>
    <t>Rating</t>
  </si>
  <si>
    <t>Label</t>
  </si>
  <si>
    <t>Definition</t>
  </si>
  <si>
    <t>Example Evidence</t>
  </si>
  <si>
    <t>Excellent</t>
  </si>
  <si>
    <t>Exceeds expectations. Fully &amp; consistently satisfied.</t>
  </si>
  <si>
    <t>App launches &lt;1s; 2FA enabled; zero crashes in 10-min session</t>
  </si>
  <si>
    <t>Good</t>
  </si>
  <si>
    <t>Mostly satisfied. Minor issues, rarely noticeable.</t>
  </si>
  <si>
    <t>Occasional 2s load; settings menu slightly hard to find</t>
  </si>
  <si>
    <t>Acceptable</t>
  </si>
  <si>
    <t>Partially satisfied. Noticeable but system remains usable.</t>
  </si>
  <si>
    <t>Crashes once per 10 min; offline shows stale data</t>
  </si>
  <si>
    <t>Poor</t>
  </si>
  <si>
    <t>Mostly unsatisfied. Significant issues degrade quality.</t>
  </si>
  <si>
    <t>Crashes twice in 5 min; loading takes 8+ seconds</t>
  </si>
  <si>
    <t>Unacceptable</t>
  </si>
  <si>
    <t>Critical failures. Characteristic essentially absent.</t>
  </si>
  <si>
    <t>Data wiped on restart; cannot perform primary purpose</t>
  </si>
  <si>
    <t>App 1 Evaluation (Characteristics 1–8)</t>
  </si>
  <si>
    <t>50 min  |  Individual — use your own device  |  Min. 3 observations per characteristic</t>
  </si>
  <si>
    <t xml:space="preserve">  APP 1 METADATA</t>
  </si>
  <si>
    <t>Evaluation Date</t>
  </si>
  <si>
    <t>Start Time</t>
  </si>
  <si>
    <t xml:space="preserve">  B.2 CHARACTERISTIC 1 — Functional Suitability (Weight: 15%)</t>
  </si>
  <si>
    <t>Feature / Use Case to Test</t>
  </si>
  <si>
    <t>How to Test</t>
  </si>
  <si>
    <t>Pass / Fail / Partial</t>
  </si>
  <si>
    <t>Notes</t>
  </si>
  <si>
    <t>Evidence Screenshot</t>
  </si>
  <si>
    <t>Primary core function</t>
  </si>
  <si>
    <t>Perform the app's main purpose (send msg / play song / navigate)</t>
  </si>
  <si>
    <t>Secondary feature 1</t>
  </si>
  <si>
    <t>Test a key secondary feature (e.g. file sharing, playlist creation)</t>
  </si>
  <si>
    <t>Secondary feature 2</t>
  </si>
  <si>
    <t>Test another secondary feature (e.g. voice call, offline maps)</t>
  </si>
  <si>
    <t>Error handling</t>
  </si>
  <si>
    <t>Enter invalid input (empty fields, wrong format). What happens?</t>
  </si>
  <si>
    <t>Edge case</t>
  </si>
  <si>
    <t>Test with extreme inputs (very long text, large file, no internet)</t>
  </si>
  <si>
    <t>CHARACTERISTIC 1 RATING (1–5):</t>
  </si>
  <si>
    <t>Justification:</t>
  </si>
  <si>
    <t xml:space="preserve">  B.3 CHARACTERISTIC 2 — Performance Efficiency (Weight: 12%)</t>
  </si>
  <si>
    <t>Measurement</t>
  </si>
  <si>
    <t>Test Method</t>
  </si>
  <si>
    <t>Your Result</t>
  </si>
  <si>
    <t>Target (Rating 4+)</t>
  </si>
  <si>
    <t>Cold start time</t>
  </si>
  <si>
    <t>Stopwatch: tap app icon → fully usable screen</t>
  </si>
  <si>
    <t>&lt; 3 seconds</t>
  </si>
  <si>
    <t>Key operation 1 (primary)</t>
  </si>
  <si>
    <t>Time the main action (search/send/load feed)</t>
  </si>
  <si>
    <t>&lt; 1 second</t>
  </si>
  <si>
    <t>Key operation 2 (secondary)</t>
  </si>
  <si>
    <t>Time a secondary action (navigate/load image)</t>
  </si>
  <si>
    <t>&lt; 2 seconds</t>
  </si>
  <si>
    <t>Battery drain</t>
  </si>
  <si>
    <t>Device Settings &gt; Battery: % used in 10 min active use</t>
  </si>
  <si>
    <t>&lt; 3%</t>
  </si>
  <si>
    <t>Slow network</t>
  </si>
  <si>
    <t>Switch to 4G only / poor signal — time key operation</t>
  </si>
  <si>
    <t>&lt; 5 seconds</t>
  </si>
  <si>
    <t>Data usage</t>
  </si>
  <si>
    <t>Device Settings &gt; Data: MB used in 10 min active use</t>
  </si>
  <si>
    <t>&lt; 10 MB</t>
  </si>
  <si>
    <t>CHARACTERISTIC 2 RATING (1–5):</t>
  </si>
  <si>
    <t xml:space="preserve">  B.4 CHARACTERISTIC 3 — Compatibility (Weight: 10%)</t>
  </si>
  <si>
    <t>Compatibility Check</t>
  </si>
  <si>
    <t>What to Look For</t>
  </si>
  <si>
    <t>Result</t>
  </si>
  <si>
    <t>Evidence / Screenshot</t>
  </si>
  <si>
    <t>Min OS version</t>
  </si>
  <si>
    <t>Check Play Store / App Store listing for minimum supported OS</t>
  </si>
  <si>
    <t>Platform availability</t>
  </si>
  <si>
    <t>List all platforms: Android, iOS, Windows, macOS, Web, Linux</t>
  </si>
  <si>
    <t>Cross-device sync</t>
  </si>
  <si>
    <t>Log in on a 2nd device — do data &amp; settings appear?</t>
  </si>
  <si>
    <t>Content sharing (in)</t>
  </si>
  <si>
    <t>Can you share content FROM other apps INTO this app?</t>
  </si>
  <si>
    <t>Content sharing (out)</t>
  </si>
  <si>
    <t>Can you share content FROM this app to 3+ other apps?</t>
  </si>
  <si>
    <t>Dark mode support</t>
  </si>
  <si>
    <t>Does the app respect your OS dark mode / accessibility settings?</t>
  </si>
  <si>
    <t>OS version compat.</t>
  </si>
  <si>
    <t>Any features broken on your specific OS version?</t>
  </si>
  <si>
    <t>CHARACTERISTIC 3 RATING (1–5):</t>
  </si>
  <si>
    <t xml:space="preserve">  B.5 CHARACTERISTIC 4 — Usability (Weight: 15%)</t>
  </si>
  <si>
    <t>Task Description</t>
  </si>
  <si>
    <t>Time (sec)</t>
  </si>
  <si>
    <t>Errors Made</t>
  </si>
  <si>
    <t>Completed?</t>
  </si>
  <si>
    <t>Task 1</t>
  </si>
  <si>
    <t>Find and change a core setting (notifications / theme / privacy)</t>
  </si>
  <si>
    <t>Task 2</t>
  </si>
  <si>
    <t>Perform the primary function for the FIRST time (new message / playlist / route)</t>
  </si>
  <si>
    <t>Task 3</t>
  </si>
  <si>
    <t>Find the Help or Support section</t>
  </si>
  <si>
    <t>Task 4</t>
  </si>
  <si>
    <t>Share content FROM this app to another app</t>
  </si>
  <si>
    <t>Task 5</t>
  </si>
  <si>
    <t>Delete an item (message, account entry, saved item)</t>
  </si>
  <si>
    <t xml:space="preserve">  ADDITIONAL USABILITY CHECKS</t>
  </si>
  <si>
    <t>UI Check</t>
  </si>
  <si>
    <t>What to Evaluate</t>
  </si>
  <si>
    <t>Observation</t>
  </si>
  <si>
    <t>Rating Impact</t>
  </si>
  <si>
    <t>Score</t>
  </si>
  <si>
    <t>Error messages</t>
  </si>
  <si>
    <t>Are error messages clear and explain how to fix the issue?</t>
  </si>
  <si>
    <t>Visual hierarchy</t>
  </si>
  <si>
    <t>Is the most important info most prominent on key screens?</t>
  </si>
  <si>
    <t>Onboarding</t>
  </si>
  <si>
    <t>Is there any in-app onboarding / tutorial for new users?</t>
  </si>
  <si>
    <t>Accessibility</t>
  </si>
  <si>
    <t>Does the app support large text, high contrast, screen reader?</t>
  </si>
  <si>
    <t>CHARACTERISTIC 4 RATING (1–5):</t>
  </si>
  <si>
    <t xml:space="preserve">  B.6 CHARACTERISTIC 5 — Reliability (Weight: 15%)</t>
  </si>
  <si>
    <t>Check</t>
  </si>
  <si>
    <t>10-min continuous use</t>
  </si>
  <si>
    <t>Use app continuously for 10 minutes — note any crashes or freezes</t>
  </si>
  <si>
    <t>Airplane Mode test</t>
  </si>
  <si>
    <t>Enable Airplane Mode mid-session — observe how app handles no connectivity</t>
  </si>
  <si>
    <t>Reconnect recovery</t>
  </si>
  <si>
    <t>Re-enable connectivity — does the app recover gracefully and sync data?</t>
  </si>
  <si>
    <t>Force-close mid-task</t>
  </si>
  <si>
    <t>Force-close the app mid-task — is your progress saved when you reopen?</t>
  </si>
  <si>
    <t>Server error messaging</t>
  </si>
  <si>
    <t>Check if the app shows meaningful error messages when server is unreachable</t>
  </si>
  <si>
    <t>CHARACTERISTIC 5 RATING (1–5):</t>
  </si>
  <si>
    <t xml:space="preserve">  B.7 CHARACTERISTIC 6 — Security (Weight: 15%)</t>
  </si>
  <si>
    <t>HTTPS / encryption</t>
  </si>
  <si>
    <t>Check: does the app use HTTPS? (look for padlock in web version)</t>
  </si>
  <si>
    <t>Permissions audit</t>
  </si>
  <si>
    <t>Review permission list in OS settings — are all permissions justified by the app's purpose?</t>
  </si>
  <si>
    <t>2FA / biometrics</t>
  </si>
  <si>
    <t>Check: is 2FA / biometric login available in settings?</t>
  </si>
  <si>
    <t>Privacy policy review</t>
  </si>
  <si>
    <t>Review Privacy Policy — what data is collected? Is it sold to third parties?</t>
  </si>
  <si>
    <t>Login lockout</t>
  </si>
  <si>
    <t>Test: what happens after 3 incorrect password attempts?</t>
  </si>
  <si>
    <t>Auto-lock on inactivity</t>
  </si>
  <si>
    <t>Check: does the app lock automatically after a period of inactivity?</t>
  </si>
  <si>
    <t>CHARACTERISTIC 6 RATING (1–5):</t>
  </si>
  <si>
    <t xml:space="preserve">  B.8 CHARACTERISTIC 7 — Maintainability (Weight: 8%)</t>
  </si>
  <si>
    <t>Update frequency</t>
  </si>
  <si>
    <t>Check app's update history: how frequently are updates released?</t>
  </si>
  <si>
    <t>Changelog quality</t>
  </si>
  <si>
    <t>Read release notes / changelog: are bug fixes clearly documented with specific details?</t>
  </si>
  <si>
    <t>Open bugs review</t>
  </si>
  <si>
    <t>Check app store reviews mentioning long-standing unfixed bugs</t>
  </si>
  <si>
    <t>CVE response history</t>
  </si>
  <si>
    <t>Note how quickly the developer responded to critical security vulnerabilities historically</t>
  </si>
  <si>
    <t>Bug tracker / channel</t>
  </si>
  <si>
    <t>Check if a public bug tracker or feedback channel exists</t>
  </si>
  <si>
    <t>CHARACTERISTIC 7 RATING (1–5):</t>
  </si>
  <si>
    <t xml:space="preserve">  B.9 CHARACTERISTIC 8 — Portability (Weight: 10%)</t>
  </si>
  <si>
    <t>Platform support</t>
  </si>
  <si>
    <t>Check which platforms app supports: iOS, Android, Windows, macOS, Web, Linux?</t>
  </si>
  <si>
    <t>Install / uninstall</t>
  </si>
  <si>
    <t>Test installation and uninstallation process — is it clean with no residual files?</t>
  </si>
  <si>
    <t>Cross-device data sync</t>
  </si>
  <si>
    <t>Check if settings and data sync across devices automatically</t>
  </si>
  <si>
    <t>Accessibility sync</t>
  </si>
  <si>
    <t>Verify the app respects system accessibility settings (font size, dark mode)</t>
  </si>
  <si>
    <t>CHARACTERISTIC 8 RATING (1–5):</t>
  </si>
  <si>
    <t>App 2 Evaluation (Characteristics 1–8)</t>
  </si>
  <si>
    <t xml:space="preserve">  APP 2 METADATA</t>
  </si>
  <si>
    <t xml:space="preserve">  C.3 CHARACTERISTIC 1 — Functional Suitability (Weight: 15%)</t>
  </si>
  <si>
    <t xml:space="preserve">  C.4 CHARACTERISTIC 2 — Performance Efficiency (Weight: 12%)</t>
  </si>
  <si>
    <t xml:space="preserve">  C.5 CHARACTERISTIC 3 — Compatibility (Weight: 10%)</t>
  </si>
  <si>
    <t xml:space="preserve">  C.6 CHARACTERISTIC 4 — Usability (Weight: 15%)</t>
  </si>
  <si>
    <t xml:space="preserve">  C.7 CHARACTERISTIC 5 — Reliability (Weight: 15%)</t>
  </si>
  <si>
    <t xml:space="preserve">  C.8 CHARACTERISTIC 6 — Security (Weight: 15%)</t>
  </si>
  <si>
    <t xml:space="preserve">  C.9 CHARACTERISTIC 7 — Maintainability (Weight: 8%)</t>
  </si>
  <si>
    <t xml:space="preserve">  C.10 CHARACTERISTIC 8 — Portability (Weight: 10%)</t>
  </si>
  <si>
    <t>App 1 — All 8 ISO 25010 Characteristics</t>
  </si>
  <si>
    <t>Complete all 8 characteristics with rating AND evidence before moving to Exp D</t>
  </si>
  <si>
    <t xml:space="preserve">  APP METADATA</t>
  </si>
  <si>
    <t>Version</t>
  </si>
  <si>
    <t>Device</t>
  </si>
  <si>
    <t>Date</t>
  </si>
  <si>
    <t xml:space="preserve">  FULL EVALUATION CHECKLIST</t>
  </si>
  <si>
    <t>Quality Characteristic (ISO 25010)</t>
  </si>
  <si>
    <t>Rating
(1–5)</t>
  </si>
  <si>
    <t>Weight</t>
  </si>
  <si>
    <t>Observations / Evidence  (min. 2 specific points)</t>
  </si>
  <si>
    <t>Weighted
Score</t>
  </si>
  <si>
    <t>1. Functional Suitability</t>
  </si>
  <si>
    <t>15%</t>
  </si>
  <si>
    <t>[Hint: Does the app deliver all expected features correctly and completely? Test all advertised functions. Note any missing/broken features.]
Observation 1:
Observation 2:</t>
  </si>
  <si>
    <t>2. Performance Efficiency</t>
  </si>
  <si>
    <t>12%</t>
  </si>
  <si>
    <t>[Hint: Response time, loading speed, battery &amp; data usage. Record actual timings in seconds for at least 3 operations.]
Observation 1:
Observation 2:</t>
  </si>
  <si>
    <t>3. Compatibility</t>
  </si>
  <si>
    <t>10%</t>
  </si>
  <si>
    <t>[Hint: Works correctly on different OS versions, screen sizes, browsers? Check platform availability listing. Test sharing.]
Observation 1:
Observation 2:</t>
  </si>
  <si>
    <t>4. Usability</t>
  </si>
  <si>
    <t>[Hint: Ease of navigation, clarity of UI, onboarding experience? Complete 5 timed tasks without guidance.]
Observation 1:
Observation 2:</t>
  </si>
  <si>
    <t>5. Reliability</t>
  </si>
  <si>
    <t>[Hint: App crashes, error handling, offline behavior, data integrity? Test Airplane Mode. Force-close mid-task.]
Observation 1:
Observation 2:</t>
  </si>
  <si>
    <t>6. Security</t>
  </si>
  <si>
    <t>[Hint: Login security, data privacy, permissions, encryption? Check 2FA, permissions list, privacy policy, lockout behavior.]
Observation 1:
Observation 2:</t>
  </si>
  <si>
    <t>7. Maintainability</t>
  </si>
  <si>
    <t>8%</t>
  </si>
  <si>
    <t>[Hint: Update frequency, bug fix speed, changelog quality? Review app store update history &amp; release notes.]
Observation 1:
Observation 2:</t>
  </si>
  <si>
    <t>8. Portability</t>
  </si>
  <si>
    <t>[Hint: Available on multiple platforms, cross-device sync? Test install/uninstall. Check dark mode &amp; accessibility sync.]
Observation 1:
Observation 2:</t>
  </si>
  <si>
    <t>WEIGHTED TOTAL SCORE (out of 5.00)</t>
  </si>
  <si>
    <t xml:space="preserve">  SELF-CHECK BEFORE MOVING TO EXPERIMENT D</t>
  </si>
  <si>
    <t>Question</t>
  </si>
  <si>
    <t>Evidence</t>
  </si>
  <si>
    <t>Every rating has ≥1 specific observation in Notes?</t>
  </si>
  <si>
    <t>Add at least one concrete observation before proceeding.</t>
  </si>
  <si>
    <t>Scale</t>
  </si>
  <si>
    <t>All ratings are whole numbers between 1 and 5?</t>
  </si>
  <si>
    <t>Revise any fractional or out-of-range ratings.</t>
  </si>
  <si>
    <t>Range</t>
  </si>
  <si>
    <t>Do your ratings span the full range (not all 4s and 5s)?</t>
  </si>
  <si>
    <t>Re-examine 4s and 5s — look harder for deficiencies.</t>
  </si>
  <si>
    <t>Consistency</t>
  </si>
  <si>
    <t>Similar quality levels rated similarly across both apps?</t>
  </si>
  <si>
    <t>If App 1 gets 5 for security, App 2 needs equivalent scrutiny.</t>
  </si>
  <si>
    <t>Independence</t>
  </si>
  <si>
    <t>Each characteristic rated independently (no brand bias)?</t>
  </si>
  <si>
    <t>Revisit any ratings influenced by brand preference.</t>
  </si>
  <si>
    <t>App 2 — All 8 ISO 25010 Characteristics</t>
  </si>
  <si>
    <t>EXPERIMENT D — Comparative Analysis &amp; Score Summary</t>
  </si>
  <si>
    <t>25 min  |  Complete after both apps are fully evaluated</t>
  </si>
  <si>
    <t xml:space="preserve">  APP IDENTIFICATION</t>
  </si>
  <si>
    <t>Evaluator</t>
  </si>
  <si>
    <t xml:space="preserve">  COMPARATIVE RATING SUMMARY TABLE</t>
  </si>
  <si>
    <t>Quality Characteristic</t>
  </si>
  <si>
    <t>App 1
Rating</t>
  </si>
  <si>
    <t>App 2
Rating</t>
  </si>
  <si>
    <t>Gap
(|A1–A2|)</t>
  </si>
  <si>
    <t>Better App</t>
  </si>
  <si>
    <t>App 1
Weighted</t>
  </si>
  <si>
    <t>App 2
Weighted</t>
  </si>
  <si>
    <t>Margin</t>
  </si>
  <si>
    <t>WEIGHTED TOTAL SCORE</t>
  </si>
  <si>
    <t xml:space="preserve">  PYTHON RADAR CHART — RATINGS REFERENCE</t>
  </si>
  <si>
    <t>Copy these values into your quality_analysis.py script</t>
  </si>
  <si>
    <t>Characteristic</t>
  </si>
  <si>
    <t>App 1 Rating</t>
  </si>
  <si>
    <t>App 2 Rating</t>
  </si>
  <si>
    <t>App 1 Contrib.</t>
  </si>
  <si>
    <t>App 2 Contrib.</t>
  </si>
  <si>
    <t xml:space="preserve">  PYTHON ARRAY STRING (copy into quality_analysis.py)</t>
  </si>
  <si>
    <t>APP1_RATINGS = [R1, R2, R3, R4, R5, R6, R7, R8]   ← replace with your Column D values above
APP2_RATINGS = [R1, R2, R3, R4, R5, R6, R7, R8]   ← replace with your Column E values above</t>
  </si>
  <si>
    <t xml:space="preserve">  RADAR CHART INTERPRETATION GUIDE</t>
  </si>
  <si>
    <t>Analysis Question</t>
  </si>
  <si>
    <t>How to Answer</t>
  </si>
  <si>
    <t>Where in Report</t>
  </si>
  <si>
    <t>Which app has a larger polygon area?</t>
  </si>
  <si>
    <t>Larger area = higher overall quality score. Name it specifically.</t>
  </si>
  <si>
    <t>Comparative Analysis</t>
  </si>
  <si>
    <t>Where does App 1 extend further than App 2?</t>
  </si>
  <si>
    <t>These spokes = App 1's quality advantages. Name the characteristics.</t>
  </si>
  <si>
    <t>Are there any scores of 2 or below?</t>
  </si>
  <si>
    <t>Scores ≤2 = critical quality gaps requiring immediate attention.</t>
  </si>
  <si>
    <t>Recommendations</t>
  </si>
  <si>
    <t>Both apps score low on the same characteristic?</t>
  </si>
  <si>
    <t>May indicate an industry-wide challenge, not just one app's weakness.</t>
  </si>
  <si>
    <t>Comparative — trade-offs</t>
  </si>
  <si>
    <t>High scores correlating with low scores elsewhere?</t>
  </si>
  <si>
    <t>Look for security vs. usability or performance vs. functionality trade-offs.</t>
  </si>
  <si>
    <t xml:space="preserve">  COMPARATIVE ANALYSIS WRITING SCAFFOLD</t>
  </si>
  <si>
    <t xml:space="preserve">  Para 1 — Overall Scores</t>
  </si>
  <si>
    <t>[Hint: State both weighted scores and identify which app has higher overall quality. Include the margin.
Template: '[App1] achieved a weighted quality score of [X]/5.00, compared to [App2]'s [Y]/5.00 — a margin of [Z] points.']
Your analysis here...</t>
  </si>
  <si>
    <t xml:space="preserve">  Para 2 — Biggest Quality Gaps</t>
  </si>
  <si>
    <t>[Hint: Identify the 3 characteristics with the largest score difference. Explain what the difference means for users in practice — do NOT just state numbers.]
Your analysis here...</t>
  </si>
  <si>
    <t xml:space="preserve">  Para 3 — Trade-offs</t>
  </si>
  <si>
    <t>[Hint: Name at least one trade-off observed.
Template: '[App X]'s higher [Char A] score comes at the cost of [Char B] — because [reason].']
Your analysis here...</t>
  </si>
  <si>
    <t xml:space="preserve">  Para 4 — Recommendation</t>
  </si>
  <si>
    <t>[Hint: State which app you would recommend for a specific use case and justify with quality scores. Be specific about user context.]
Your analysis here...</t>
  </si>
  <si>
    <t>SECTION 7 — Quality Improvement Recommendations</t>
  </si>
  <si>
    <t>4 recommendations required: 2 per app  |  Each must follow the Recommendation Formula</t>
  </si>
  <si>
    <t xml:space="preserve">  RECOMMENDATION FORMULA (must follow this structure)</t>
  </si>
  <si>
    <t>📋  [App Name] should [specific action] in order to improve [characteristic] from its current rating of [X] to a target of [Y]. Currently, [specific observed deficiency]. This change would [specific user benefit].</t>
  </si>
  <si>
    <t xml:space="preserve">  EXAMPLES — Good vs Bad Recommendations</t>
  </si>
  <si>
    <t>Quality</t>
  </si>
  <si>
    <t>Example Recommendation</t>
  </si>
  <si>
    <t>App</t>
  </si>
  <si>
    <t>Char.</t>
  </si>
  <si>
    <t>Why?</t>
  </si>
  <si>
    <t>❌ BAD — Vague</t>
  </si>
  <si>
    <t>WhatsApp should improve security.</t>
  </si>
  <si>
    <t>Security</t>
  </si>
  <si>
    <t>No specific action, no mechanism, no evidence</t>
  </si>
  <si>
    <t>❌ BAD — No evidence</t>
  </si>
  <si>
    <t>Telegram needs better reliability because it sometimes crashes.</t>
  </si>
  <si>
    <t>Reliability</t>
  </si>
  <si>
    <t>No specific observation, no target rating</t>
  </si>
  <si>
    <t>✅ GOOD</t>
  </si>
  <si>
    <t>Telegram should add E2E encryption as default for all chats (not just Secret Chats) to improve Security from 4 to 5. Currently, standard chats are stored server-side. Enabling E2E by default gives users same confidentiality WhatsApp already provides.</t>
  </si>
  <si>
    <t>Specific action + evidence + benefit + target rating</t>
  </si>
  <si>
    <t xml:space="preserve">  YOUR RECOMMENDATIONS — Fill in all shaded cells</t>
  </si>
  <si>
    <t>App 1 — Recommendation 1</t>
  </si>
  <si>
    <t>Your Answer</t>
  </si>
  <si>
    <t>Specific Action</t>
  </si>
  <si>
    <t>Characteristic Improved</t>
  </si>
  <si>
    <t>Current Rating</t>
  </si>
  <si>
    <t>Target Rating</t>
  </si>
  <si>
    <t>Specific Deficiency Observed</t>
  </si>
  <si>
    <t>User Benefit</t>
  </si>
  <si>
    <t>Complete Recommendation (paragraph form)</t>
  </si>
  <si>
    <t>App 1 — Recommendation 2</t>
  </si>
  <si>
    <t>App 2 — Recommendation 1</t>
  </si>
  <si>
    <t>App 2 — Recommendation 2</t>
  </si>
  <si>
    <t>QUALITY ASSESSMENT REPORT — Section-by-Section Outline</t>
  </si>
  <si>
    <t>Use this as your PDF report writing guide  |  Minimum 600 words for Sections 6 &amp; 7 combined</t>
  </si>
  <si>
    <t>Sec</t>
  </si>
  <si>
    <t>Title</t>
  </si>
  <si>
    <t>Required Content</t>
  </si>
  <si>
    <t>Target Length</t>
  </si>
  <si>
    <t>Cover Information</t>
  </si>
  <si>
    <t>App names, version numbers, platform, OS version, evaluator name, student ID, date, pair letter.</t>
  </si>
  <si>
    <t>Half page</t>
  </si>
  <si>
    <t>App Overviews</t>
  </si>
  <si>
    <t>One paragraph per app: primary purpose, target users, main features, app category. Note any relevant similarities or differences.</t>
  </si>
  <si>
    <t>½–1 page</t>
  </si>
  <si>
    <t>Evaluation Methodology</t>
  </si>
  <si>
    <t>Rating scale (1–5 Likert). How each characteristic was tested. Device &amp; OS used. Duration per app. Tools used (timer, settings screenshots, etc.).</t>
  </si>
  <si>
    <t>½ page</t>
  </si>
  <si>
    <t>Completed Checklists</t>
  </si>
  <si>
    <t>Two fully completed checklist tables (one per app) with ratings, weights, and detailed observation notes. ALL 8 characteristics rated.</t>
  </si>
  <si>
    <t>2 pages</t>
  </si>
  <si>
    <t>Quality Profile Chart</t>
  </si>
  <si>
    <t>Your radar chart image generated by Python. Must be clearly labelled with app names and weighted scores in the legend.</t>
  </si>
  <si>
    <t>1 page</t>
  </si>
  <si>
    <t>3–5 paragraphs comparing both apps. Must address: overall score comparison, top 3 quality gaps, at least 1 trade-off, recommendation with justification.</t>
  </si>
  <si>
    <t>1–1.5 pages</t>
  </si>
  <si>
    <t>7</t>
  </si>
  <si>
    <t>Exactly 2 specific, actionable recommendations per app = 4 total. Each must name the specific feature/mechanism &amp; reference the characteristic improved.</t>
  </si>
  <si>
    <t xml:space="preserve">  COMMON MISTAKES TO AVOID</t>
  </si>
  <si>
    <t>Mistake</t>
  </si>
  <si>
    <t>Problem</t>
  </si>
  <si>
    <t>Fix</t>
  </si>
  <si>
    <t>⚠️ Rating Without Evidence</t>
  </si>
  <si>
    <t>'It feels secure' is not evidence.</t>
  </si>
  <si>
    <t>For every rating ask: 'What did I specifically observe?'</t>
  </si>
  <si>
    <t>⚠️ Confusing Characteristics</t>
  </si>
  <si>
    <t>Marking down Reliability when app is slow (that's Performance).</t>
  </si>
  <si>
    <t>Re-read each ISO 25010 definition before rating.</t>
  </si>
  <si>
    <t>⚠️ Inflated Ratings (All 4s &amp; 5s)</t>
  </si>
  <si>
    <t>No real-world app scores perfectly across all 8 characteristics.</t>
  </si>
  <si>
    <t>For every 4 or 5, spend 2 extra minutes looking for deficiencies.</t>
  </si>
  <si>
    <t>⚠️ Ignoring Weights in Analysis</t>
  </si>
  <si>
    <t>Comparing raw counts of 4s/5s instead of weighted scores.</t>
  </si>
  <si>
    <t>Always calculate and compare weighted total scores.</t>
  </si>
  <si>
    <t>⚠️ Inconsistent Testing Conditions</t>
  </si>
  <si>
    <t>App 1 on fast WiFi, App 2 on poor 4G — results meaningless.</t>
  </si>
  <si>
    <t>Both apps: same device, OS, day, network conditions.</t>
  </si>
  <si>
    <t>⚠️ Vague Recommendations</t>
  </si>
  <si>
    <t>'Improve security' gives developers nothing actionable.</t>
  </si>
  <si>
    <t>Every rec. names a specific feature/mechanism + target rating + benefit.</t>
  </si>
  <si>
    <t>⚠️ Brand Bias</t>
  </si>
  <si>
    <t>Rating well-known brand higher due to reputation, not evidence.</t>
  </si>
  <si>
    <t>Cover app name when reviewing ratings — would you change any?</t>
  </si>
  <si>
    <t>GRADED LAB TASK — Evaluation Rubric  |  Total: 15 Marks</t>
  </si>
  <si>
    <t>Individual Assessment  |  CLO-1 (P-2) + CLO-2 (P-3)  |  Submitted via LMS</t>
  </si>
  <si>
    <t xml:space="preserve">  MARKS BREAKDOWN</t>
  </si>
  <si>
    <t>Criterion</t>
  </si>
  <si>
    <t>Marks</t>
  </si>
  <si>
    <t>Excellent (90–100%)</t>
  </si>
  <si>
    <t>Good (75–89%)</t>
  </si>
  <si>
    <t>Satisfactory (60–74%)</t>
  </si>
  <si>
    <t>C1 — Evaluation Completeness</t>
  </si>
  <si>
    <t>20%</t>
  </si>
  <si>
    <t>Both apps, all 8 chars rated (1–5), whole numbers, weighted scores correct.</t>
  </si>
  <si>
    <t>7 of 8 chars rated; minor calc error (&lt;0.1 difference).</t>
  </si>
  <si>
    <t>5–6 chars rated; weighted scores present but with errors.</t>
  </si>
  <si>
    <t>C2 — Evidence Quality</t>
  </si>
  <si>
    <t>Every rating: ≥2 specific observations. Performance: actual timings. Security: specific mechanisms.</t>
  </si>
  <si>
    <t>≥6 ratings per app have specific obs. 1–2 vague. Performance present.</t>
  </si>
  <si>
    <t>Evidence inconsistent. 3–5 adequate. No performance measurements.</t>
  </si>
  <si>
    <t>C3 — Python Script &amp; Radar Chart</t>
  </si>
  <si>
    <t>13%</t>
  </si>
  <si>
    <t>Script runs with student's actual ratings. Chart clearly labelled. PNG in GitHub week2/.</t>
  </si>
  <si>
    <t>Script runs but uses example ratings. Chart present in GitHub.</t>
  </si>
  <si>
    <t>Script needs minor edits. Chart exists. Not in correct week2/ folder.</t>
  </si>
  <si>
    <t>C4 — Comparative Analysis</t>
  </si>
  <si>
    <t>Weighted score comparison; top 3 gaps with practical explanation; ≥1 trade-off; recommendation with use-case.</t>
  </si>
  <si>
    <t>Score comparison + 2 gaps. Trade-offs mentioned. Recommendation present.</t>
  </si>
  <si>
    <t>Score comparison. 1 gap. No trade-offs. Recommendation without justification.</t>
  </si>
  <si>
    <t>C5 — Recommendation Specificity</t>
  </si>
  <si>
    <t>4 recs (2/app). Each: specific mechanism, characteristic, current/target rating, user benefit.</t>
  </si>
  <si>
    <t>3–4 recs. Most specific. 1–2 missing mechanism detail. Target rating not always stated.</t>
  </si>
  <si>
    <t>2–3 recs. Mix of specific and vague. Chars referenced without current/target.</t>
  </si>
  <si>
    <t>C6 — Report Structure</t>
  </si>
  <si>
    <t>7%</t>
  </si>
  <si>
    <t>All 7 sections in correct order. Professional formatting. Radar chart embedded. Cover complete.</t>
  </si>
  <si>
    <t>6 of 7 sections. Minor formatting. Cover mostly complete. Chart present.</t>
  </si>
  <si>
    <t>5 of 7 sections. Sections out of order. Chart may be missing.</t>
  </si>
  <si>
    <t>C7 — GitHub &amp; File Naming</t>
  </si>
  <si>
    <t>Files in week2/. Correct commit message. PDF named correctly. GitHub URL in LMS. On time.</t>
  </si>
  <si>
    <t>Files in correct location. Minor commit msg deviation. On time.</t>
  </si>
  <si>
    <t>Files in GitHub but wrong folder. PDF naming incorrect. On time.</t>
  </si>
  <si>
    <t>TOTAL MARKS</t>
  </si>
  <si>
    <t>/ 15 marks</t>
  </si>
  <si>
    <t xml:space="preserve">  GRADING SCALE</t>
  </si>
  <si>
    <t>Grade</t>
  </si>
  <si>
    <t>Descriptor</t>
  </si>
  <si>
    <t>14–15</t>
  </si>
  <si>
    <t>A (Distinction)</t>
  </si>
  <si>
    <t>Excellent — professional quality evaluation, thorough evidence, insightful analysis, specific recommendations.</t>
  </si>
  <si>
    <t>11–13</t>
  </si>
  <si>
    <t>B (Merit)</t>
  </si>
  <si>
    <t>Good — all components present with adequate quality; minor gaps in evidence depth or analysis.</t>
  </si>
  <si>
    <t>8–10</t>
  </si>
  <si>
    <t>C (Pass)</t>
  </si>
  <si>
    <t>Satisfactory — meets basic requirements; noticeable gaps in evidence or analysis; recommendations may be vague.</t>
  </si>
  <si>
    <t>5–7</t>
  </si>
  <si>
    <t>D (Marginal)</t>
  </si>
  <si>
    <t>Borderline — significant effort but major requirements incomplete; evaluation substantially deficient.</t>
  </si>
  <si>
    <t>0–4</t>
  </si>
  <si>
    <t>F (Fail)</t>
  </si>
  <si>
    <t>Insufficient — critical requirements missing; evaluation not conducted properly or not submitted.</t>
  </si>
  <si>
    <t xml:space="preserve">  INSTRUCTOR MARKING CHECKLIST</t>
  </si>
  <si>
    <t>Yes / No</t>
  </si>
  <si>
    <t>Both apps evaluated with all 8 characteristics rated (1–5, whole numbers)</t>
  </si>
  <si>
    <t>Weighted scores calculated and present for both apps</t>
  </si>
  <si>
    <t>Every rating has at least 1 specific observation (not 'it feels good')</t>
  </si>
  <si>
    <t>Performance ratings include actual measured timings (seconds)</t>
  </si>
  <si>
    <t>Security ratings reference specific mechanisms (2FA, permissions, encryption)</t>
  </si>
  <si>
    <t>quality_analysis.py in week2/ on GitHub with student's actual ratings (not examples)</t>
  </si>
  <si>
    <t>Radar chart PNG in week2/ on GitHub, both apps labelled with scores</t>
  </si>
  <si>
    <t>8</t>
  </si>
  <si>
    <t>Comparative analysis compares weighted scores explicitly with numbers</t>
  </si>
  <si>
    <t>9</t>
  </si>
  <si>
    <t>At least 1 quality trade-off identified and explained in comparative analysis</t>
  </si>
  <si>
    <t>10</t>
  </si>
  <si>
    <t>4 recommendations (2/app) each naming a specific mechanism</t>
  </si>
  <si>
    <t>11</t>
  </si>
  <si>
    <t>All 7 report sections present in submitted PDF</t>
  </si>
  <si>
    <t>12</t>
  </si>
  <si>
    <t>PDF named correctly and submitted to LMS before deadline</t>
  </si>
  <si>
    <t>ISO 25010 Quick Reference Card  |  All 8 Quality Characteristics</t>
  </si>
  <si>
    <t>Sub-Characteristics</t>
  </si>
  <si>
    <t>Key Question</t>
  </si>
  <si>
    <t>Test Approach</t>
  </si>
  <si>
    <t>Functional Suitability</t>
  </si>
  <si>
    <t>Completeness, Correctness, Appropriateness</t>
  </si>
  <si>
    <t>Does it do what users need?</t>
  </si>
  <si>
    <t>Feature checklist — Pass/Fail per advertised function. Test edge cases.</t>
  </si>
  <si>
    <t>Performance Efficiency</t>
  </si>
  <si>
    <t>Time behaviour, Resource utilisation, Capacity</t>
  </si>
  <si>
    <t>Does it do it fast enough?</t>
  </si>
  <si>
    <t>Stopwatch timings; device battery/data settings. Record actual numbers.</t>
  </si>
  <si>
    <t>Compatibility</t>
  </si>
  <si>
    <t>Co-existence, Interoperability</t>
  </si>
  <si>
    <t>Does it work with other systems?</t>
  </si>
  <si>
    <t>App store listing; cross-platform sync test; sharing test with 3+ apps.</t>
  </si>
  <si>
    <t>Usability</t>
  </si>
  <si>
    <t>Learnability, Operability, Aesthetics, Accessibility</t>
  </si>
  <si>
    <t>Is it easy and pleasant to use?</t>
  </si>
  <si>
    <t>5-task usability test — timed, unguided, record errors.</t>
  </si>
  <si>
    <t>Availability, Fault tolerance, Recoverability, Maturity</t>
  </si>
  <si>
    <t>Does it work consistently?</t>
  </si>
  <si>
    <t>10-min session; Airplane Mode test; force-close test; note crashes.</t>
  </si>
  <si>
    <t>Confidentiality, Integrity, Authenticity, Accountability</t>
  </si>
  <si>
    <t>Is data and access protected?</t>
  </si>
  <si>
    <t>HTTPS check; permissions list; 2FA; privacy policy review; lockout test.</t>
  </si>
  <si>
    <t>Maintainability</t>
  </si>
  <si>
    <t>Modularity, Analysability, Modifiability, Testability</t>
  </si>
  <si>
    <t>Can it be changed/fixed easily?</t>
  </si>
  <si>
    <t>Update history; changelog quality; open bug age; response to CVEs.</t>
  </si>
  <si>
    <t>Portability</t>
  </si>
  <si>
    <t>Adaptability, Install ability, Replaceability</t>
  </si>
  <si>
    <t>Can it run in different environments?</t>
  </si>
  <si>
    <t>Platform count; install/uninstall; cross-device sync; dark mode respect.</t>
  </si>
  <si>
    <t xml:space="preserve">  CHARACTERISTIC TRADE-OFFS — Know Before You Rate</t>
  </si>
  <si>
    <t>Trade-off</t>
  </si>
  <si>
    <t>Example</t>
  </si>
  <si>
    <t>Implication</t>
  </si>
  <si>
    <t>Security vs. Usability</t>
  </si>
  <si>
    <t>2FA improves security but adds login friction → lower usability score.</t>
  </si>
  <si>
    <t>Rate each independently. Note the trade-off in comparative analysis.</t>
  </si>
  <si>
    <t>Performance vs. Security</t>
  </si>
  <si>
    <t>Encryption adds CPU overhead → highly secure app may have slower response times.</t>
  </si>
  <si>
    <t>Do not penalize security for slower performance if encryption is the cause.</t>
  </si>
  <si>
    <t>Portability vs. Performance</t>
  </si>
  <si>
    <t>Cross-platform frameworks (React Native, Flutter) may perform worse than native.</t>
  </si>
  <si>
    <t>Document the platform context when rating performance.</t>
  </si>
  <si>
    <t>Reliability vs. Functionality</t>
  </si>
  <si>
    <t>Adding more features increases complexity → can reduce reliability score.</t>
  </si>
  <si>
    <t>A feature-rich app rated lower on reliability is an expected trade-off.</t>
  </si>
  <si>
    <t xml:space="preserve">  RATING SCALE — 1–5 LIKERT</t>
  </si>
  <si>
    <t>Example Justification</t>
  </si>
  <si>
    <t>Waqar Younas</t>
  </si>
  <si>
    <t>FA23-BSE-066</t>
  </si>
  <si>
    <t>Infinix Hot 40i</t>
  </si>
  <si>
    <t>Google Map</t>
  </si>
  <si>
    <t>11.72.0302</t>
  </si>
  <si>
    <t>13.0.0</t>
  </si>
  <si>
    <t>Pass</t>
  </si>
  <si>
    <t>We opened app and searched for kotli and it traced the location accurately and then navigated precisely as we follwed that route</t>
  </si>
  <si>
    <t>Allow us to share our location through email and mutiple third pirty apps like whatsapp , telegram etc</t>
  </si>
  <si>
    <t>Fail</t>
  </si>
  <si>
    <t xml:space="preserve">When I tried to locate offline it don’t support </t>
  </si>
  <si>
    <t>When tried to search by leaving the input filed empty it don’t shows any message for user and halt search and proceeded to default view</t>
  </si>
  <si>
    <t>It don’t work without internet</t>
  </si>
  <si>
    <t>1.58 sec</t>
  </si>
  <si>
    <t>2.19 sec</t>
  </si>
  <si>
    <t>1.83 sec</t>
  </si>
  <si>
    <t>0.5 % / 10 min</t>
  </si>
  <si>
    <t>2 sec</t>
  </si>
  <si>
    <t>5 MB</t>
  </si>
  <si>
    <t>When I searched a location (Bagh) it took more than 1 sec</t>
  </si>
  <si>
    <t>Andriod 9 and up</t>
  </si>
  <si>
    <t>Android, iOS, Windows, macOS, Web</t>
  </si>
  <si>
    <t>Andriod 9</t>
  </si>
  <si>
    <t>Apple Mpas</t>
  </si>
  <si>
    <t>26.3.1 (a)</t>
  </si>
  <si>
    <t>iPhone 13 Pro</t>
  </si>
  <si>
    <t>Ios 10.0</t>
  </si>
  <si>
    <t>April-15-2026</t>
  </si>
  <si>
    <t>April-13-2026</t>
  </si>
  <si>
    <t>Yes Appeared on 2nd device</t>
  </si>
  <si>
    <t xml:space="preserve">Yes </t>
  </si>
  <si>
    <t>Yes</t>
  </si>
  <si>
    <t>Opens shared locations</t>
  </si>
  <si>
    <t>We can our location via multiple apps</t>
  </si>
  <si>
    <t>It support both light and dark mode</t>
  </si>
  <si>
    <t>No</t>
  </si>
  <si>
    <t>Works smoothly on Android 13</t>
  </si>
  <si>
    <t>Not very clear</t>
  </si>
  <si>
    <t>Very clear</t>
  </si>
  <si>
    <t>minimal</t>
  </si>
  <si>
    <t>Good Support</t>
  </si>
  <si>
    <t>Andriod 13</t>
  </si>
  <si>
    <t>Partial</t>
  </si>
  <si>
    <t>No Crash</t>
  </si>
  <si>
    <t>Limited Feature</t>
  </si>
  <si>
    <t>Recovers automatically</t>
  </si>
  <si>
    <t>Resumes properly</t>
  </si>
  <si>
    <t>Messages unclear</t>
  </si>
  <si>
    <t>Secure connection</t>
  </si>
  <si>
    <t>Justified</t>
  </si>
  <si>
    <t>Via Google account</t>
  </si>
  <si>
    <t>Transparent</t>
  </si>
  <si>
    <t>Secure</t>
  </si>
  <si>
    <t>Device-based</t>
  </si>
  <si>
    <t>Frequent</t>
  </si>
  <si>
    <t>Not detailed</t>
  </si>
  <si>
    <t>Some user complaints</t>
  </si>
  <si>
    <t>Fast</t>
  </si>
  <si>
    <t>Feedback available</t>
  </si>
  <si>
    <t>Multiple platforms</t>
  </si>
  <si>
    <t>Clean</t>
  </si>
  <si>
    <t>Seamless</t>
  </si>
  <si>
    <t>Works with OS settings</t>
  </si>
  <si>
    <t>Navigation is accurate with turn-by-turn directions and voice guidance</t>
  </si>
  <si>
    <t>Location sharing via iMessage, WhatsApp, etc.</t>
  </si>
  <si>
    <t>Offline maps supported (iOS 17+), but must be downloaded manually</t>
  </si>
  <si>
    <t>Empty search shows suggestions instead of clear error message</t>
  </si>
  <si>
    <t>Limited functionality without internet, but offline maps work if downloaded</t>
  </si>
  <si>
    <t>1.2sec</t>
  </si>
  <si>
    <t>0.9sec</t>
  </si>
  <si>
    <t>1.5sec</t>
  </si>
  <si>
    <t>2.5sec</t>
  </si>
  <si>
    <t>4MB</t>
  </si>
  <si>
    <t>iso 10 / 10+</t>
  </si>
  <si>
    <t>iOS, iPadOS, macOS, watchOS, Web (limited)</t>
  </si>
  <si>
    <t>Supported</t>
  </si>
  <si>
    <t>No Android support</t>
  </si>
  <si>
    <t>Sync via iCloud</t>
  </si>
  <si>
    <t>Opens links from Safari, Messages</t>
  </si>
  <si>
    <t>Share via multiple apps</t>
  </si>
  <si>
    <t>Fully supported</t>
  </si>
  <si>
    <t>No issues on iPhone 13 Pro</t>
  </si>
  <si>
    <t>Moderate clarity</t>
  </si>
  <si>
    <t>Very clean and simple</t>
  </si>
  <si>
    <t>Minimal</t>
  </si>
  <si>
    <t>Excellent (VoiceOver, zoom, etc.)</t>
  </si>
  <si>
    <t>No crashes</t>
  </si>
  <si>
    <t>Offline maps work if downloaded</t>
  </si>
  <si>
    <t>Recovers smoothly</t>
  </si>
  <si>
    <t>Navigation resumes</t>
  </si>
  <si>
    <t>Not always descriptive</t>
  </si>
  <si>
    <t>Secure Apple servers</t>
  </si>
  <si>
    <t>Only necessary permissions</t>
  </si>
  <si>
    <t>Apple ID security</t>
  </si>
  <si>
    <t>Strong privacy focus</t>
  </si>
  <si>
    <t>Apple ID protection</t>
  </si>
  <si>
    <t>Updated with iOS releases</t>
  </si>
  <si>
    <t>Not very detailed</t>
  </si>
  <si>
    <t>Some complaints exist</t>
  </si>
  <si>
    <t>Apple responds quickly</t>
  </si>
  <si>
    <t>Feedback via Apple support</t>
  </si>
  <si>
    <t>Only Apple ecosystem</t>
  </si>
  <si>
    <t>Pre-installed</t>
  </si>
  <si>
    <t>iCloud sync</t>
  </si>
  <si>
    <t>Improve offline mode by enabling full navigation without pre-downloaded maps</t>
  </si>
  <si>
    <t>Offline navigation only works if maps are downloaded in advance</t>
  </si>
  <si>
    <t>Users can navigate anytime without internet preparation</t>
  </si>
  <si>
    <t>Google Maps should enhance its offline capabilities by enabling automatic offline navigation without requiring users to pre-download maps in order to improve Functional Suitability from its current rating of 4 to a target of 5. Currently, offline navigation only works when maps are manually downloaded beforehand. This change would allow users to navigate seamlessly in low-connectivity areas, improving reliability and user convenience.</t>
  </si>
  <si>
    <t>Improve error messages by providing clear feedback for invalid or empty inputs</t>
  </si>
  <si>
    <t>No clear message when search field is empty or invalid</t>
  </si>
  <si>
    <t>Better user guidance and reduced confusion</t>
  </si>
  <si>
    <t>Google Maps should improve its error handling by displaying clear and informative messages for empty or invalid inputs in order to enhance Usability from its current rating of 4 to a target of 5. Currently, when users perform a search without entering any input, the app does not provide meaningful feedback and defaults to a general view. This change would help users understand what went wrong and how to correct it, leading to a smoother user experience.</t>
  </si>
  <si>
    <t>Expand platform availability to Android devices</t>
  </si>
  <si>
    <t>App is limited to Apple ecosystem only</t>
  </si>
  <si>
    <t>Cross-platform access and wider usability</t>
  </si>
  <si>
    <t>Apple Maps should expand its availability to Android platforms in order to improve Portability from its current rating of 4 to a target of 5. Currently, the application is restricted to Apple devices, limiting its accessibility for users on other platforms. This change would allow a broader user base to access Apple Maps and enable cross-platform usability similar to competing applications.</t>
  </si>
  <si>
    <t>Improve error messages and offline guidance for no-internet scenarios</t>
  </si>
  <si>
    <t>Limited feedback when internet connection is lost</t>
  </si>
  <si>
    <t>Better user understanding and smoother recovery</t>
  </si>
  <si>
    <t>Apple Maps should enhance its error messaging and provide clearer guidance during no-internet situations in order to improve Reliability from its current rating of 4 to a target of 5. Currently, when connectivity is lost, the app provides limited or unclear feedback to users. This change would help users understand the issue and take appropriate action, resulting in a more dependable and user-friendly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</si>
</sst>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charset val="1"/>
    </font>
    <font>
      <b/>
      <sz val="14"/>
      <color rgb="FFFFFFFF"/>
      <name val="Arial"/>
      <charset val="1"/>
    </font>
    <font>
      <b/>
      <sz val="10"/>
      <color rgb="FFFFFFFF"/>
      <name val="Arial"/>
      <charset val="1"/>
    </font>
    <font>
      <b/>
      <sz val="9"/>
      <color rgb="FF1F3864"/>
      <name val="Arial"/>
      <charset val="1"/>
    </font>
    <font>
      <b/>
      <sz val="9"/>
      <color rgb="FF444444"/>
      <name val="Arial"/>
      <charset val="1"/>
    </font>
    <font>
      <sz val="10"/>
      <color rgb="FF000000"/>
      <name val="Arial"/>
      <charset val="1"/>
    </font>
    <font>
      <b/>
      <sz val="9"/>
      <color rgb="FF000000"/>
      <name val="Arial"/>
      <charset val="1"/>
    </font>
    <font>
      <sz val="9"/>
      <color rgb="FF000000"/>
      <name val="Arial"/>
      <charset val="1"/>
    </font>
    <font>
      <b/>
      <sz val="13"/>
      <color rgb="FFFFFFFF"/>
      <name val="Arial"/>
      <charset val="1"/>
    </font>
    <font>
      <b/>
      <sz val="9"/>
      <color rgb="FFFFFFFF"/>
      <name val="Arial"/>
      <charset val="1"/>
    </font>
    <font>
      <b/>
      <sz val="10"/>
      <color rgb="FF1F3864"/>
      <name val="Arial"/>
      <charset val="1"/>
    </font>
    <font>
      <b/>
      <sz val="14"/>
      <color rgb="FF1F3864"/>
      <name val="Arial"/>
      <charset val="1"/>
    </font>
    <font>
      <b/>
      <sz val="10"/>
      <color rgb="FF000000"/>
      <name val="Arial"/>
      <charset val="1"/>
    </font>
    <font>
      <b/>
      <sz val="13"/>
      <color rgb="FF1F3864"/>
      <name val="Arial"/>
      <charset val="1"/>
    </font>
    <font>
      <i/>
      <sz val="8"/>
      <color rgb="FF888888"/>
      <name val="Arial"/>
      <charset val="1"/>
    </font>
    <font>
      <b/>
      <sz val="10"/>
      <color rgb="FF1A6B5A"/>
      <name val="Arial"/>
      <charset val="1"/>
    </font>
    <font>
      <b/>
      <sz val="11"/>
      <color rgb="FFFFFFFF"/>
      <name val="Arial"/>
      <charset val="1"/>
    </font>
    <font>
      <i/>
      <sz val="8"/>
      <color rgb="FFA32D2D"/>
      <name val="Arial"/>
      <charset val="1"/>
    </font>
    <font>
      <b/>
      <sz val="11"/>
      <color rgb="FF000000"/>
      <name val="Arial"/>
      <charset val="1"/>
    </font>
    <font>
      <b/>
      <sz val="12"/>
      <color rgb="FF1F3864"/>
      <name val="Arial"/>
      <charset val="1"/>
    </font>
    <font>
      <b/>
      <sz val="10"/>
      <color rgb="FFA32D2D"/>
      <name val="Arial"/>
      <charset val="1"/>
    </font>
    <font>
      <b/>
      <sz val="11"/>
      <color rgb="FF1F3864"/>
      <name val="Arial"/>
      <charset val="1"/>
    </font>
    <font>
      <sz val="9"/>
      <color rgb="FF2E75B6"/>
      <name val="Arial"/>
      <charset val="1"/>
    </font>
    <font>
      <sz val="9"/>
      <color rgb="FF1A6B5A"/>
      <name val="Arial"/>
      <charset val="1"/>
    </font>
    <font>
      <sz val="9"/>
      <color rgb="FF1F3864"/>
      <name val="Courier New"/>
      <charset val="1"/>
    </font>
    <font>
      <b/>
      <sz val="9"/>
      <color rgb="FF1A6B5A"/>
      <name val="Arial"/>
      <charset val="1"/>
    </font>
    <font>
      <i/>
      <sz val="9"/>
      <color rgb="FF888888"/>
      <name val="Arial"/>
      <charset val="1"/>
    </font>
    <font>
      <sz val="8"/>
      <color rgb="FF000000"/>
      <name val="Arial"/>
      <charset val="1"/>
    </font>
    <font>
      <b/>
      <sz val="9"/>
      <color rgb="FFA32D2D"/>
      <name val="Arial"/>
      <charset val="1"/>
    </font>
    <font>
      <b/>
      <sz val="12"/>
      <color rgb="FFFFFFFF"/>
      <name val="Arial"/>
      <charset val="1"/>
    </font>
    <font>
      <i/>
      <sz val="8"/>
      <color rgb="FF000000"/>
      <name val="Arial"/>
      <charset val="1"/>
    </font>
    <font>
      <sz val="10"/>
      <color rgb="FF000000"/>
      <name val="Arial"/>
    </font>
    <font>
      <sz val="9"/>
      <color rgb="FF000000"/>
      <name val="Arial"/>
    </font>
    <font>
      <sz val="9"/>
      <color rgb="FF000000"/>
      <name val="Arial"/>
      <family val="2"/>
    </font>
  </fonts>
  <fills count="15">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F2F2F2"/>
        <bgColor rgb="FFE2EFDA"/>
      </patternFill>
    </fill>
    <fill>
      <patternFill patternType="solid">
        <fgColor rgb="FFFFF2CC"/>
        <bgColor rgb="FFF2F2F2"/>
      </patternFill>
    </fill>
    <fill>
      <patternFill patternType="solid">
        <fgColor rgb="FFD6E4F0"/>
        <bgColor rgb="FFD6EDE8"/>
      </patternFill>
    </fill>
    <fill>
      <patternFill patternType="solid">
        <fgColor rgb="FFD6EDE8"/>
        <bgColor rgb="FFD6E4F0"/>
      </patternFill>
    </fill>
    <fill>
      <patternFill patternType="solid">
        <fgColor rgb="FFE2EFDA"/>
        <bgColor rgb="FFD6EDE8"/>
      </patternFill>
    </fill>
    <fill>
      <patternFill patternType="solid">
        <fgColor rgb="FFFFE0E0"/>
        <bgColor rgb="FFFFF2CC"/>
      </patternFill>
    </fill>
    <fill>
      <patternFill patternType="solid">
        <fgColor rgb="FFCCCCCC"/>
        <bgColor rgb="FFD6E4F0"/>
      </patternFill>
    </fill>
    <fill>
      <patternFill patternType="solid">
        <fgColor rgb="FF1A6B5A"/>
        <bgColor rgb="FF008080"/>
      </patternFill>
    </fill>
    <fill>
      <patternFill patternType="solid">
        <fgColor rgb="FFFFFFFF"/>
        <bgColor rgb="FFF2F2F2"/>
      </patternFill>
    </fill>
    <fill>
      <patternFill patternType="solid">
        <fgColor rgb="FFFFD966"/>
        <bgColor rgb="FFFFCC00"/>
      </patternFill>
    </fill>
    <fill>
      <patternFill patternType="solid">
        <fgColor rgb="FFFFF2CC"/>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8">
    <xf numFmtId="0" fontId="0" fillId="0" borderId="0" xfId="0"/>
    <xf numFmtId="0" fontId="2" fillId="3" borderId="1" xfId="0" applyFont="1" applyFill="1" applyBorder="1" applyAlignment="1">
      <alignment horizontal="center" vertical="center" wrapText="1"/>
    </xf>
    <xf numFmtId="0" fontId="7" fillId="12"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4" borderId="1" xfId="0" applyFont="1" applyFill="1" applyBorder="1" applyAlignment="1">
      <alignment horizontal="left" vertical="center"/>
    </xf>
    <xf numFmtId="0" fontId="0" fillId="0" borderId="1" xfId="0" applyBorder="1"/>
    <xf numFmtId="0" fontId="6" fillId="6" borderId="1" xfId="0" applyFont="1" applyFill="1" applyBorder="1" applyAlignment="1">
      <alignment horizontal="left" vertical="center"/>
    </xf>
    <xf numFmtId="0" fontId="7" fillId="6" borderId="1" xfId="0" applyFont="1" applyFill="1" applyBorder="1" applyAlignment="1">
      <alignment horizontal="left" vertical="center"/>
    </xf>
    <xf numFmtId="0" fontId="6" fillId="7" borderId="1" xfId="0" applyFont="1" applyFill="1" applyBorder="1" applyAlignment="1">
      <alignment horizontal="left" vertical="center"/>
    </xf>
    <xf numFmtId="0" fontId="7" fillId="7" borderId="1" xfId="0" applyFont="1" applyFill="1" applyBorder="1" applyAlignment="1">
      <alignment horizontal="left" vertical="center"/>
    </xf>
    <xf numFmtId="0" fontId="6" fillId="5" borderId="1" xfId="0" applyFont="1" applyFill="1" applyBorder="1" applyAlignment="1">
      <alignment horizontal="left" vertical="center"/>
    </xf>
    <xf numFmtId="0" fontId="7" fillId="5" borderId="1" xfId="0" applyFont="1" applyFill="1" applyBorder="1" applyAlignment="1">
      <alignment horizontal="left" vertical="center"/>
    </xf>
    <xf numFmtId="0" fontId="6" fillId="8" borderId="1" xfId="0" applyFont="1" applyFill="1" applyBorder="1" applyAlignment="1">
      <alignment horizontal="left" vertical="center"/>
    </xf>
    <xf numFmtId="0" fontId="7" fillId="8" borderId="1" xfId="0" applyFont="1" applyFill="1" applyBorder="1" applyAlignment="1">
      <alignment horizontal="left" vertical="center"/>
    </xf>
    <xf numFmtId="0" fontId="6" fillId="9" borderId="1" xfId="0" applyFont="1" applyFill="1" applyBorder="1" applyAlignment="1">
      <alignment horizontal="left" vertical="center"/>
    </xf>
    <xf numFmtId="0" fontId="7" fillId="9" borderId="1" xfId="0" applyFont="1" applyFill="1" applyBorder="1" applyAlignment="1">
      <alignment horizontal="left" vertical="center"/>
    </xf>
    <xf numFmtId="0" fontId="6" fillId="10" borderId="1" xfId="0" applyFont="1" applyFill="1" applyBorder="1" applyAlignment="1">
      <alignment horizontal="left" vertical="center"/>
    </xf>
    <xf numFmtId="0" fontId="7" fillId="10"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6" fillId="9"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0" fillId="5" borderId="1" xfId="0" applyFill="1" applyBorder="1" applyAlignment="1">
      <alignment horizontal="left" vertical="center" wrapText="1"/>
    </xf>
    <xf numFmtId="0" fontId="6" fillId="12" borderId="1" xfId="0" applyFont="1" applyFill="1" applyBorder="1" applyAlignment="1">
      <alignment horizontal="left" vertical="center" wrapText="1"/>
    </xf>
    <xf numFmtId="0" fontId="11" fillId="5" borderId="1" xfId="0" applyFont="1" applyFill="1" applyBorder="1" applyAlignment="1">
      <alignment horizontal="center" vertical="center"/>
    </xf>
    <xf numFmtId="0" fontId="5" fillId="12" borderId="0" xfId="0" applyFont="1" applyFill="1"/>
    <xf numFmtId="0" fontId="2" fillId="3" borderId="2"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5" fillId="4" borderId="2" xfId="0" applyFont="1" applyFill="1" applyBorder="1" applyAlignment="1">
      <alignment horizontal="left" vertical="center" wrapText="1"/>
    </xf>
    <xf numFmtId="0" fontId="12" fillId="12" borderId="2"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3" fillId="5" borderId="1" xfId="0" applyFont="1" applyFill="1" applyBorder="1" applyAlignment="1">
      <alignment horizontal="center" vertical="center"/>
    </xf>
    <xf numFmtId="0" fontId="7" fillId="4" borderId="1" xfId="0" applyFont="1" applyFill="1" applyBorder="1" applyAlignment="1">
      <alignment horizontal="center" vertical="center"/>
    </xf>
    <xf numFmtId="0" fontId="14" fillId="5" borderId="1" xfId="0" applyFont="1" applyFill="1" applyBorder="1" applyAlignment="1">
      <alignment horizontal="left" vertical="top" wrapText="1"/>
    </xf>
    <xf numFmtId="2" fontId="15" fillId="4" borderId="1" xfId="0" applyNumberFormat="1" applyFont="1" applyFill="1" applyBorder="1" applyAlignment="1">
      <alignment horizontal="center" vertical="center"/>
    </xf>
    <xf numFmtId="0" fontId="3" fillId="12" borderId="1" xfId="0" applyFont="1" applyFill="1" applyBorder="1" applyAlignment="1">
      <alignment horizontal="left" vertical="center" wrapText="1"/>
    </xf>
    <xf numFmtId="0" fontId="7" fillId="12" borderId="1" xfId="0" applyFont="1" applyFill="1" applyBorder="1" applyAlignment="1">
      <alignment horizontal="center" vertical="center"/>
    </xf>
    <xf numFmtId="2" fontId="15" fillId="12" borderId="1" xfId="0" applyNumberFormat="1" applyFont="1" applyFill="1" applyBorder="1" applyAlignment="1">
      <alignment horizontal="center" vertical="center"/>
    </xf>
    <xf numFmtId="2" fontId="8" fillId="2"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0" fillId="5" borderId="1" xfId="0" applyFill="1" applyBorder="1" applyAlignment="1">
      <alignment horizontal="center" vertical="center"/>
    </xf>
    <xf numFmtId="0" fontId="17" fillId="9" borderId="1" xfId="0" applyFont="1" applyFill="1" applyBorder="1" applyAlignment="1">
      <alignment horizontal="left" vertical="center" wrapText="1"/>
    </xf>
    <xf numFmtId="0" fontId="6" fillId="12" borderId="1" xfId="0" applyFont="1" applyFill="1" applyBorder="1" applyAlignment="1">
      <alignment horizontal="center" vertical="center"/>
    </xf>
    <xf numFmtId="0" fontId="18" fillId="5" borderId="1" xfId="0" applyFont="1" applyFill="1" applyBorder="1" applyAlignment="1">
      <alignment horizontal="center" vertical="center"/>
    </xf>
    <xf numFmtId="0" fontId="19" fillId="5" borderId="1" xfId="0" applyFont="1" applyFill="1" applyBorder="1" applyAlignment="1">
      <alignment horizontal="center" vertical="center"/>
    </xf>
    <xf numFmtId="1" fontId="20" fillId="4" borderId="1" xfId="0" applyNumberFormat="1" applyFont="1" applyFill="1" applyBorder="1" applyAlignment="1">
      <alignment horizontal="center" vertical="center"/>
    </xf>
    <xf numFmtId="1" fontId="20" fillId="12" borderId="1" xfId="0" applyNumberFormat="1" applyFont="1" applyFill="1" applyBorder="1" applyAlignment="1">
      <alignment horizontal="center" vertical="center"/>
    </xf>
    <xf numFmtId="2" fontId="16"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9" fontId="7" fillId="4" borderId="1" xfId="0" applyNumberFormat="1" applyFont="1" applyFill="1" applyBorder="1" applyAlignment="1">
      <alignment horizontal="center" vertical="center"/>
    </xf>
    <xf numFmtId="0" fontId="21" fillId="4" borderId="1" xfId="0" applyFont="1" applyFill="1" applyBorder="1" applyAlignment="1">
      <alignment horizontal="center" vertical="center"/>
    </xf>
    <xf numFmtId="2" fontId="22" fillId="4" borderId="1" xfId="0" applyNumberFormat="1" applyFont="1" applyFill="1" applyBorder="1" applyAlignment="1">
      <alignment horizontal="center" vertical="center"/>
    </xf>
    <xf numFmtId="2" fontId="23" fillId="4" borderId="1" xfId="0" applyNumberFormat="1" applyFont="1" applyFill="1" applyBorder="1" applyAlignment="1">
      <alignment horizontal="center" vertical="center"/>
    </xf>
    <xf numFmtId="9" fontId="7" fillId="12" borderId="1" xfId="0" applyNumberFormat="1" applyFont="1" applyFill="1" applyBorder="1" applyAlignment="1">
      <alignment horizontal="center" vertical="center"/>
    </xf>
    <xf numFmtId="2" fontId="22" fillId="12" borderId="1" xfId="0" applyNumberFormat="1" applyFont="1" applyFill="1" applyBorder="1" applyAlignment="1">
      <alignment horizontal="center" vertical="center"/>
    </xf>
    <xf numFmtId="2" fontId="23" fillId="12" borderId="1" xfId="0" applyNumberFormat="1" applyFont="1" applyFill="1" applyBorder="1" applyAlignment="1">
      <alignment horizontal="center" vertical="center"/>
    </xf>
    <xf numFmtId="0" fontId="25" fillId="7"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27" fillId="9" borderId="1" xfId="0" applyFont="1" applyFill="1" applyBorder="1" applyAlignment="1">
      <alignment horizontal="left" vertical="center" wrapText="1"/>
    </xf>
    <xf numFmtId="0" fontId="27" fillId="8" borderId="1" xfId="0" applyFont="1" applyFill="1" applyBorder="1" applyAlignment="1">
      <alignment horizontal="left" vertical="center" wrapText="1"/>
    </xf>
    <xf numFmtId="0" fontId="28" fillId="9"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2" fillId="8"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13" borderId="1" xfId="0" applyFont="1" applyFill="1" applyBorder="1" applyAlignment="1">
      <alignment horizontal="center" vertical="center"/>
    </xf>
    <xf numFmtId="0" fontId="12" fillId="9" borderId="1" xfId="0" applyFont="1" applyFill="1" applyBorder="1" applyAlignment="1">
      <alignment horizontal="center" vertical="center"/>
    </xf>
    <xf numFmtId="0" fontId="19" fillId="6" borderId="1" xfId="0" applyFont="1" applyFill="1" applyBorder="1" applyAlignment="1">
      <alignment horizontal="center" vertical="center"/>
    </xf>
    <xf numFmtId="0" fontId="12" fillId="6" borderId="1" xfId="0" applyFont="1" applyFill="1" applyBorder="1" applyAlignment="1">
      <alignment horizontal="left" vertical="center" wrapText="1"/>
    </xf>
    <xf numFmtId="0" fontId="30" fillId="6" borderId="1" xfId="0" applyFont="1" applyFill="1" applyBorder="1" applyAlignment="1">
      <alignment horizontal="left" vertical="center" wrapText="1"/>
    </xf>
    <xf numFmtId="0" fontId="21" fillId="6" borderId="1" xfId="0" applyFont="1" applyFill="1" applyBorder="1" applyAlignment="1">
      <alignment horizontal="center" vertical="center"/>
    </xf>
    <xf numFmtId="0" fontId="19" fillId="12" borderId="1" xfId="0" applyFont="1" applyFill="1" applyBorder="1" applyAlignment="1">
      <alignment horizontal="center" vertical="center"/>
    </xf>
    <xf numFmtId="0" fontId="12" fillId="12" borderId="1" xfId="0" applyFont="1" applyFill="1" applyBorder="1" applyAlignment="1">
      <alignment horizontal="left" vertical="center" wrapText="1"/>
    </xf>
    <xf numFmtId="0" fontId="30" fillId="12" borderId="1" xfId="0" applyFont="1" applyFill="1" applyBorder="1" applyAlignment="1">
      <alignment horizontal="left" vertical="center" wrapText="1"/>
    </xf>
    <xf numFmtId="0" fontId="21" fillId="12" borderId="1" xfId="0" applyFont="1" applyFill="1" applyBorder="1" applyAlignment="1">
      <alignment horizontal="center" vertical="center"/>
    </xf>
    <xf numFmtId="0" fontId="19" fillId="7" borderId="1" xfId="0" applyFont="1" applyFill="1" applyBorder="1" applyAlignment="1">
      <alignment horizontal="center" vertical="center"/>
    </xf>
    <xf numFmtId="0" fontId="12" fillId="7" borderId="1" xfId="0" applyFont="1" applyFill="1" applyBorder="1" applyAlignment="1">
      <alignment horizontal="left" vertical="center" wrapText="1"/>
    </xf>
    <xf numFmtId="0" fontId="30" fillId="7" borderId="1" xfId="0" applyFont="1" applyFill="1" applyBorder="1" applyAlignment="1">
      <alignment horizontal="left" vertical="center" wrapText="1"/>
    </xf>
    <xf numFmtId="0" fontId="21" fillId="7" borderId="1" xfId="0" applyFont="1" applyFill="1" applyBorder="1" applyAlignment="1">
      <alignment horizontal="center" vertical="center"/>
    </xf>
    <xf numFmtId="0" fontId="12" fillId="5"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21" fillId="5" borderId="1" xfId="0" applyFont="1" applyFill="1" applyBorder="1" applyAlignment="1">
      <alignment horizontal="center" vertical="center"/>
    </xf>
    <xf numFmtId="0" fontId="19" fillId="4" borderId="1" xfId="0" applyFont="1" applyFill="1" applyBorder="1" applyAlignment="1">
      <alignment horizontal="center" vertical="center"/>
    </xf>
    <xf numFmtId="0" fontId="12" fillId="4"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19" fillId="8" borderId="1" xfId="0" applyFont="1" applyFill="1" applyBorder="1" applyAlignment="1">
      <alignment horizontal="center" vertical="center"/>
    </xf>
    <xf numFmtId="0" fontId="12" fillId="8" borderId="1" xfId="0" applyFont="1" applyFill="1" applyBorder="1" applyAlignment="1">
      <alignment horizontal="left" vertical="center" wrapText="1"/>
    </xf>
    <xf numFmtId="0" fontId="30" fillId="8" borderId="1" xfId="0" applyFont="1" applyFill="1" applyBorder="1" applyAlignment="1">
      <alignment horizontal="left" vertical="center" wrapText="1"/>
    </xf>
    <xf numFmtId="0" fontId="21" fillId="8" borderId="1" xfId="0" applyFont="1" applyFill="1" applyBorder="1" applyAlignment="1">
      <alignment horizontal="center" vertical="center"/>
    </xf>
    <xf numFmtId="0" fontId="13" fillId="8" borderId="1" xfId="0" applyFont="1" applyFill="1" applyBorder="1" applyAlignment="1">
      <alignment horizontal="center" vertical="center"/>
    </xf>
    <xf numFmtId="0" fontId="13" fillId="6" borderId="1" xfId="0" applyFont="1" applyFill="1" applyBorder="1" applyAlignment="1">
      <alignment horizontal="center" vertical="center"/>
    </xf>
    <xf numFmtId="0" fontId="13" fillId="13" borderId="1" xfId="0" applyFont="1" applyFill="1" applyBorder="1" applyAlignment="1">
      <alignment horizontal="center" vertical="center"/>
    </xf>
    <xf numFmtId="0" fontId="13" fillId="9" borderId="1" xfId="0" applyFont="1" applyFill="1" applyBorder="1" applyAlignment="1">
      <alignment horizontal="center" vertical="center"/>
    </xf>
    <xf numFmtId="15" fontId="5" fillId="5" borderId="1" xfId="0" applyNumberFormat="1" applyFont="1" applyFill="1" applyBorder="1" applyAlignment="1">
      <alignment horizontal="left" vertical="center" wrapText="1"/>
    </xf>
    <xf numFmtId="0" fontId="0" fillId="14" borderId="1" xfId="0" applyFill="1" applyBorder="1" applyAlignment="1">
      <alignment horizontal="left" vertical="center" wrapText="1"/>
    </xf>
    <xf numFmtId="0" fontId="32" fillId="14" borderId="1" xfId="0" applyFont="1" applyFill="1" applyBorder="1" applyAlignment="1">
      <alignment horizontal="left" vertical="center" wrapText="1"/>
    </xf>
    <xf numFmtId="0" fontId="33" fillId="14" borderId="1" xfId="0" applyFont="1" applyFill="1" applyBorder="1" applyAlignment="1">
      <alignment horizontal="left" vertical="center" wrapText="1"/>
    </xf>
    <xf numFmtId="0" fontId="3" fillId="4" borderId="1" xfId="0" applyFont="1" applyFill="1" applyBorder="1" applyAlignment="1">
      <alignment horizontal="lef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31" fillId="14" borderId="1" xfId="0" applyFont="1" applyFill="1" applyBorder="1" applyAlignment="1">
      <alignment horizontal="left" vertical="center" wrapText="1"/>
    </xf>
    <xf numFmtId="0" fontId="0" fillId="0" borderId="0" xfId="0"/>
    <xf numFmtId="15" fontId="31" fillId="14" borderId="1" xfId="0" applyNumberFormat="1" applyFont="1" applyFill="1" applyBorder="1" applyAlignment="1">
      <alignment horizontal="left" vertical="center" wrapText="1"/>
    </xf>
    <xf numFmtId="18" fontId="31" fillId="14" borderId="1" xfId="0" applyNumberFormat="1" applyFont="1" applyFill="1" applyBorder="1" applyAlignment="1">
      <alignment horizontal="left" vertical="center" wrapText="1"/>
    </xf>
    <xf numFmtId="0" fontId="10" fillId="6" borderId="1"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5" fillId="5" borderId="1" xfId="0" applyFont="1" applyFill="1" applyBorder="1" applyAlignment="1">
      <alignment horizontal="left" vertical="center" wrapText="1"/>
    </xf>
    <xf numFmtId="0" fontId="16" fillId="2" borderId="1" xfId="0" applyFont="1" applyFill="1" applyBorder="1" applyAlignment="1">
      <alignment horizontal="center" vertical="center"/>
    </xf>
    <xf numFmtId="0" fontId="7" fillId="12"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2" fillId="11"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6" fillId="2" borderId="1" xfId="0" applyFont="1" applyFill="1" applyBorder="1" applyAlignment="1">
      <alignment horizontal="left" vertical="center" wrapText="1"/>
    </xf>
    <xf numFmtId="0" fontId="24" fillId="5"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26" fillId="5" borderId="1" xfId="0" applyFont="1" applyFill="1" applyBorder="1" applyAlignment="1">
      <alignment horizontal="left" vertical="top" wrapText="1"/>
    </xf>
    <xf numFmtId="0" fontId="3" fillId="5" borderId="1" xfId="0" applyFont="1" applyFill="1" applyBorder="1" applyAlignment="1">
      <alignment horizontal="left" vertical="center" wrapText="1"/>
    </xf>
    <xf numFmtId="0" fontId="23" fillId="8" borderId="1" xfId="0" applyFont="1" applyFill="1" applyBorder="1" applyAlignment="1">
      <alignment horizontal="left" vertical="center" wrapText="1"/>
    </xf>
    <xf numFmtId="0" fontId="29" fillId="2"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30" fillId="12" borderId="1" xfId="0" applyFont="1" applyFill="1" applyBorder="1" applyAlignment="1">
      <alignment horizontal="left" vertical="center" wrapText="1"/>
    </xf>
    <xf numFmtId="14" fontId="5" fillId="5" borderId="1" xfId="0" applyNumberFormat="1" applyFont="1" applyFill="1" applyBorder="1" applyAlignment="1">
      <alignment horizontal="left" vertical="center" wrapText="1"/>
    </xf>
    <xf numFmtId="19" fontId="5" fillId="5" borderId="1" xfId="0" applyNumberFormat="1" applyFont="1" applyFill="1" applyBorder="1" applyAlignment="1">
      <alignment horizontal="left" vertical="center" wrapText="1"/>
    </xf>
    <xf numFmtId="10" fontId="7" fillId="5"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6B5A"/>
      <rgbColor rgb="FFCCCCCC"/>
      <rgbColor rgb="FF888888"/>
      <rgbColor rgb="FF9999FF"/>
      <rgbColor rgb="FF993366"/>
      <rgbColor rgb="FFFFF2CC"/>
      <rgbColor rgb="FFD6EDE8"/>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2F2F2"/>
      <rgbColor rgb="FFE2EFDA"/>
      <rgbColor rgb="FFFFE0E0"/>
      <rgbColor rgb="FF99CCFF"/>
      <rgbColor rgb="FFFF99CC"/>
      <rgbColor rgb="FFCC99FF"/>
      <rgbColor rgb="FFFFD966"/>
      <rgbColor rgb="FF2E75B6"/>
      <rgbColor rgb="FF33CCCC"/>
      <rgbColor rgb="FF99CC00"/>
      <rgbColor rgb="FFFFCC00"/>
      <rgbColor rgb="FFFF9900"/>
      <rgbColor rgb="FFFF6600"/>
      <rgbColor rgb="FF666699"/>
      <rgbColor rgb="FF969696"/>
      <rgbColor rgb="FF1F3864"/>
      <rgbColor rgb="FF339966"/>
      <rgbColor rgb="FF003300"/>
      <rgbColor rgb="FF333300"/>
      <rgbColor rgb="FFA32D2D"/>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51"/>
  <sheetViews>
    <sheetView showGridLines="0" zoomScale="95" zoomScaleNormal="95" workbookViewId="0">
      <selection activeCell="P16" sqref="P16"/>
    </sheetView>
  </sheetViews>
  <sheetFormatPr defaultColWidth="8.7109375" defaultRowHeight="15" x14ac:dyDescent="0.25"/>
  <cols>
    <col min="1" max="1" width="3" customWidth="1"/>
    <col min="2" max="2" width="26" customWidth="1"/>
    <col min="3" max="3" width="28" customWidth="1"/>
    <col min="4" max="4" width="26" customWidth="1"/>
    <col min="5" max="5" width="28" customWidth="1"/>
    <col min="6" max="6" width="5" customWidth="1"/>
  </cols>
  <sheetData>
    <row r="1" spans="2:5" ht="36" customHeight="1" x14ac:dyDescent="0.25">
      <c r="B1" s="111" t="s">
        <v>0</v>
      </c>
      <c r="C1" s="111"/>
      <c r="D1" s="111"/>
      <c r="E1" s="111"/>
    </row>
    <row r="2" spans="2:5" ht="19.5" customHeight="1" x14ac:dyDescent="0.25">
      <c r="B2" s="112" t="s">
        <v>1</v>
      </c>
      <c r="C2" s="112"/>
      <c r="D2" s="112"/>
      <c r="E2" s="112"/>
    </row>
    <row r="3" spans="2:5" ht="7.5" customHeight="1" x14ac:dyDescent="0.25"/>
    <row r="4" spans="2:5" ht="15.75" customHeight="1" x14ac:dyDescent="0.25">
      <c r="B4" s="110" t="s">
        <v>2</v>
      </c>
      <c r="C4" s="110"/>
      <c r="D4" s="110"/>
      <c r="E4" s="110"/>
    </row>
    <row r="5" spans="2:5" ht="18" customHeight="1" x14ac:dyDescent="0.25">
      <c r="B5" s="6" t="s">
        <v>3</v>
      </c>
      <c r="C5" s="5" t="s">
        <v>562</v>
      </c>
      <c r="D5" s="7"/>
      <c r="E5" s="7"/>
    </row>
    <row r="6" spans="2:5" ht="18" customHeight="1" x14ac:dyDescent="0.25">
      <c r="B6" s="6" t="s">
        <v>4</v>
      </c>
      <c r="C6" s="5" t="s">
        <v>563</v>
      </c>
      <c r="D6" s="7"/>
      <c r="E6" s="7"/>
    </row>
    <row r="7" spans="2:5" ht="18" customHeight="1" x14ac:dyDescent="0.25">
      <c r="B7" s="6" t="s">
        <v>5</v>
      </c>
      <c r="C7" s="5" t="s">
        <v>21</v>
      </c>
      <c r="D7" s="7"/>
      <c r="E7" s="7"/>
    </row>
    <row r="8" spans="2:5" ht="18" customHeight="1" x14ac:dyDescent="0.25">
      <c r="B8" s="6" t="s">
        <v>6</v>
      </c>
      <c r="C8" s="106">
        <v>46128</v>
      </c>
      <c r="D8" s="7"/>
      <c r="E8" s="7"/>
    </row>
    <row r="9" spans="2:5" ht="18" customHeight="1" x14ac:dyDescent="0.25">
      <c r="B9" s="6" t="s">
        <v>7</v>
      </c>
      <c r="C9" s="5" t="s">
        <v>564</v>
      </c>
      <c r="D9" s="7"/>
      <c r="E9" s="7"/>
    </row>
    <row r="10" spans="2:5" ht="18" customHeight="1" x14ac:dyDescent="0.25">
      <c r="B10" s="6" t="s">
        <v>8</v>
      </c>
      <c r="C10" s="5">
        <v>13</v>
      </c>
      <c r="D10" s="7"/>
      <c r="E10" s="7"/>
    </row>
    <row r="11" spans="2:5" ht="18" customHeight="1" x14ac:dyDescent="0.25">
      <c r="B11" s="6" t="s">
        <v>9</v>
      </c>
      <c r="C11" s="5" t="s">
        <v>10</v>
      </c>
      <c r="D11" s="7"/>
      <c r="E11" s="7"/>
    </row>
    <row r="12" spans="2:5" ht="7.5" customHeight="1" x14ac:dyDescent="0.25"/>
    <row r="13" spans="2:5" ht="15.75" customHeight="1" x14ac:dyDescent="0.25">
      <c r="B13" s="110" t="s">
        <v>11</v>
      </c>
      <c r="C13" s="110"/>
      <c r="D13" s="110"/>
      <c r="E13" s="110"/>
    </row>
    <row r="14" spans="2:5" ht="15.75" customHeight="1" x14ac:dyDescent="0.25">
      <c r="B14" s="113" t="s">
        <v>12</v>
      </c>
      <c r="C14" s="113"/>
      <c r="D14" s="113"/>
      <c r="E14" s="113"/>
    </row>
    <row r="15" spans="2:5" ht="18" customHeight="1" x14ac:dyDescent="0.25">
      <c r="B15" s="1" t="s">
        <v>13</v>
      </c>
      <c r="C15" s="1" t="s">
        <v>14</v>
      </c>
      <c r="D15" s="1" t="s">
        <v>15</v>
      </c>
      <c r="E15" s="1" t="s">
        <v>16</v>
      </c>
    </row>
    <row r="16" spans="2:5" ht="16.5" customHeight="1" x14ac:dyDescent="0.25">
      <c r="B16" s="8" t="s">
        <v>17</v>
      </c>
      <c r="C16" s="9" t="s">
        <v>18</v>
      </c>
      <c r="D16" s="9" t="s">
        <v>19</v>
      </c>
      <c r="E16" s="9" t="s">
        <v>20</v>
      </c>
    </row>
    <row r="17" spans="2:5" ht="16.5" customHeight="1" x14ac:dyDescent="0.25">
      <c r="B17" s="10" t="s">
        <v>21</v>
      </c>
      <c r="C17" s="11" t="s">
        <v>22</v>
      </c>
      <c r="D17" s="11" t="s">
        <v>23</v>
      </c>
      <c r="E17" s="11" t="s">
        <v>24</v>
      </c>
    </row>
    <row r="18" spans="2:5" ht="16.5" customHeight="1" x14ac:dyDescent="0.25">
      <c r="B18" s="12" t="s">
        <v>25</v>
      </c>
      <c r="C18" s="13" t="s">
        <v>26</v>
      </c>
      <c r="D18" s="13" t="s">
        <v>27</v>
      </c>
      <c r="E18" s="13" t="s">
        <v>28</v>
      </c>
    </row>
    <row r="19" spans="2:5" ht="16.5" customHeight="1" x14ac:dyDescent="0.25">
      <c r="B19" s="14" t="s">
        <v>29</v>
      </c>
      <c r="C19" s="15" t="s">
        <v>30</v>
      </c>
      <c r="D19" s="15" t="s">
        <v>31</v>
      </c>
      <c r="E19" s="15" t="s">
        <v>32</v>
      </c>
    </row>
    <row r="20" spans="2:5" ht="16.5" customHeight="1" x14ac:dyDescent="0.25">
      <c r="B20" s="16" t="s">
        <v>33</v>
      </c>
      <c r="C20" s="17" t="s">
        <v>34</v>
      </c>
      <c r="D20" s="17" t="s">
        <v>35</v>
      </c>
      <c r="E20" s="17" t="s">
        <v>36</v>
      </c>
    </row>
    <row r="21" spans="2:5" ht="16.5" customHeight="1" x14ac:dyDescent="0.25">
      <c r="B21" s="18" t="s">
        <v>37</v>
      </c>
      <c r="C21" s="19" t="s">
        <v>38</v>
      </c>
      <c r="D21" s="19" t="s">
        <v>39</v>
      </c>
      <c r="E21" s="19" t="s">
        <v>40</v>
      </c>
    </row>
    <row r="22" spans="2:5" ht="7.5" customHeight="1" x14ac:dyDescent="0.25"/>
    <row r="23" spans="2:5" ht="15.75" customHeight="1" x14ac:dyDescent="0.25">
      <c r="B23" s="110" t="s">
        <v>41</v>
      </c>
      <c r="C23" s="110"/>
      <c r="D23" s="110"/>
      <c r="E23" s="110"/>
    </row>
    <row r="24" spans="2:5" ht="15.75" customHeight="1" x14ac:dyDescent="0.25">
      <c r="B24" s="6" t="s">
        <v>42</v>
      </c>
      <c r="C24" s="6" t="s">
        <v>43</v>
      </c>
      <c r="D24" s="6" t="s">
        <v>44</v>
      </c>
      <c r="E24" s="6"/>
    </row>
    <row r="25" spans="2:5" ht="19.5" customHeight="1" x14ac:dyDescent="0.25">
      <c r="B25" s="5" t="s">
        <v>21</v>
      </c>
      <c r="C25" s="5" t="s">
        <v>22</v>
      </c>
      <c r="D25" s="5" t="s">
        <v>23</v>
      </c>
      <c r="E25" s="5"/>
    </row>
    <row r="26" spans="2:5" ht="7.5" customHeight="1" x14ac:dyDescent="0.25"/>
    <row r="27" spans="2:5" ht="15.75" customHeight="1" x14ac:dyDescent="0.25">
      <c r="B27" s="110" t="s">
        <v>45</v>
      </c>
      <c r="C27" s="110"/>
      <c r="D27" s="110"/>
      <c r="E27" s="110"/>
    </row>
    <row r="28" spans="2:5" ht="15.75" customHeight="1" x14ac:dyDescent="0.25">
      <c r="B28" s="4" t="s">
        <v>46</v>
      </c>
      <c r="C28" s="4" t="s">
        <v>14</v>
      </c>
      <c r="D28" s="4" t="s">
        <v>46</v>
      </c>
      <c r="E28" s="4" t="s">
        <v>15</v>
      </c>
    </row>
    <row r="29" spans="2:5" ht="18" customHeight="1" x14ac:dyDescent="0.25">
      <c r="B29" s="6" t="s">
        <v>47</v>
      </c>
      <c r="C29" s="5" t="s">
        <v>22</v>
      </c>
      <c r="D29" s="6" t="s">
        <v>47</v>
      </c>
      <c r="E29" s="5" t="s">
        <v>585</v>
      </c>
    </row>
    <row r="30" spans="2:5" ht="18" customHeight="1" x14ac:dyDescent="0.25">
      <c r="B30" s="6" t="s">
        <v>48</v>
      </c>
      <c r="C30" s="5" t="s">
        <v>566</v>
      </c>
      <c r="D30" s="6" t="s">
        <v>48</v>
      </c>
      <c r="E30" s="5" t="s">
        <v>586</v>
      </c>
    </row>
    <row r="31" spans="2:5" ht="18" customHeight="1" x14ac:dyDescent="0.25">
      <c r="B31" s="6" t="s">
        <v>49</v>
      </c>
      <c r="C31" s="5" t="s">
        <v>564</v>
      </c>
      <c r="D31" s="6" t="s">
        <v>49</v>
      </c>
      <c r="E31" s="5" t="s">
        <v>587</v>
      </c>
    </row>
    <row r="32" spans="2:5" ht="18" customHeight="1" x14ac:dyDescent="0.25">
      <c r="B32" s="6" t="s">
        <v>50</v>
      </c>
      <c r="C32" s="5" t="s">
        <v>584</v>
      </c>
      <c r="D32" s="6" t="s">
        <v>50</v>
      </c>
      <c r="E32" s="5" t="s">
        <v>588</v>
      </c>
    </row>
    <row r="33" spans="2:5" ht="18" customHeight="1" x14ac:dyDescent="0.25">
      <c r="B33" s="6" t="s">
        <v>51</v>
      </c>
      <c r="C33" s="5">
        <v>4.4000000000000004</v>
      </c>
      <c r="D33" s="6" t="s">
        <v>51</v>
      </c>
      <c r="E33" s="5">
        <v>2.4</v>
      </c>
    </row>
    <row r="34" spans="2:5" ht="18" customHeight="1" x14ac:dyDescent="0.25">
      <c r="B34" s="6" t="s">
        <v>52</v>
      </c>
      <c r="C34" s="5" t="s">
        <v>589</v>
      </c>
      <c r="D34" s="6" t="s">
        <v>52</v>
      </c>
      <c r="E34" s="5" t="s">
        <v>590</v>
      </c>
    </row>
    <row r="35" spans="2:5" ht="7.5" customHeight="1" x14ac:dyDescent="0.25"/>
    <row r="36" spans="2:5" ht="15.75" customHeight="1" x14ac:dyDescent="0.25">
      <c r="B36" s="110" t="s">
        <v>53</v>
      </c>
      <c r="C36" s="110"/>
      <c r="D36" s="110"/>
      <c r="E36" s="110"/>
    </row>
    <row r="37" spans="2:5" ht="15.75" customHeight="1" x14ac:dyDescent="0.25">
      <c r="B37" s="20" t="s">
        <v>54</v>
      </c>
      <c r="C37" s="20" t="s">
        <v>55</v>
      </c>
      <c r="D37" s="20" t="s">
        <v>56</v>
      </c>
      <c r="E37" s="20" t="s">
        <v>57</v>
      </c>
    </row>
    <row r="38" spans="2:5" ht="18" customHeight="1" x14ac:dyDescent="0.25">
      <c r="B38" s="2" t="s">
        <v>58</v>
      </c>
      <c r="C38" s="2" t="s">
        <v>59</v>
      </c>
      <c r="D38" s="2" t="s">
        <v>60</v>
      </c>
      <c r="E38" s="21"/>
    </row>
    <row r="39" spans="2:5" ht="18" customHeight="1" x14ac:dyDescent="0.25">
      <c r="B39" s="2" t="s">
        <v>61</v>
      </c>
      <c r="C39" s="2" t="s">
        <v>62</v>
      </c>
      <c r="D39" s="2" t="s">
        <v>60</v>
      </c>
      <c r="E39" s="21"/>
    </row>
    <row r="40" spans="2:5" ht="18" customHeight="1" x14ac:dyDescent="0.25">
      <c r="B40" s="2" t="s">
        <v>63</v>
      </c>
      <c r="C40" s="2" t="s">
        <v>64</v>
      </c>
      <c r="D40" s="2" t="s">
        <v>60</v>
      </c>
      <c r="E40" s="21"/>
    </row>
    <row r="41" spans="2:5" ht="18" customHeight="1" x14ac:dyDescent="0.25">
      <c r="B41" s="2" t="s">
        <v>65</v>
      </c>
      <c r="C41" s="2" t="s">
        <v>66</v>
      </c>
      <c r="D41" s="2" t="s">
        <v>67</v>
      </c>
      <c r="E41" s="21"/>
    </row>
    <row r="42" spans="2:5" ht="18" customHeight="1" x14ac:dyDescent="0.25">
      <c r="B42" s="2" t="s">
        <v>68</v>
      </c>
      <c r="C42" s="2" t="s">
        <v>69</v>
      </c>
      <c r="D42" s="2" t="s">
        <v>67</v>
      </c>
      <c r="E42" s="21"/>
    </row>
    <row r="43" spans="2:5" ht="18" customHeight="1" x14ac:dyDescent="0.25">
      <c r="B43" s="2" t="s">
        <v>70</v>
      </c>
      <c r="C43" s="2" t="s">
        <v>71</v>
      </c>
      <c r="D43" s="2" t="s">
        <v>67</v>
      </c>
      <c r="E43" s="21"/>
    </row>
    <row r="44" spans="2:5" ht="7.5" customHeight="1" x14ac:dyDescent="0.25"/>
    <row r="45" spans="2:5" ht="15.75" customHeight="1" x14ac:dyDescent="0.25">
      <c r="B45" s="110" t="s">
        <v>72</v>
      </c>
      <c r="C45" s="110"/>
      <c r="D45" s="110"/>
      <c r="E45" s="110"/>
    </row>
    <row r="46" spans="2:5" ht="15.75" customHeight="1" x14ac:dyDescent="0.25">
      <c r="B46" s="20" t="s">
        <v>73</v>
      </c>
      <c r="C46" s="20" t="s">
        <v>74</v>
      </c>
      <c r="D46" s="20" t="s">
        <v>75</v>
      </c>
      <c r="E46" s="20" t="s">
        <v>76</v>
      </c>
    </row>
    <row r="47" spans="2:5" ht="21.75" customHeight="1" x14ac:dyDescent="0.25">
      <c r="B47" s="22">
        <v>5</v>
      </c>
      <c r="C47" s="22" t="s">
        <v>77</v>
      </c>
      <c r="D47" s="21" t="s">
        <v>78</v>
      </c>
      <c r="E47" s="21" t="s">
        <v>79</v>
      </c>
    </row>
    <row r="48" spans="2:5" ht="21.75" customHeight="1" x14ac:dyDescent="0.25">
      <c r="B48" s="23">
        <v>4</v>
      </c>
      <c r="C48" s="23" t="s">
        <v>80</v>
      </c>
      <c r="D48" s="24" t="s">
        <v>81</v>
      </c>
      <c r="E48" s="24" t="s">
        <v>82</v>
      </c>
    </row>
    <row r="49" spans="2:5" ht="21.75" customHeight="1" x14ac:dyDescent="0.25">
      <c r="B49" s="25">
        <v>3</v>
      </c>
      <c r="C49" s="25" t="s">
        <v>83</v>
      </c>
      <c r="D49" s="26" t="s">
        <v>84</v>
      </c>
      <c r="E49" s="26" t="s">
        <v>85</v>
      </c>
    </row>
    <row r="50" spans="2:5" ht="21.75" customHeight="1" x14ac:dyDescent="0.25">
      <c r="B50" s="27">
        <v>2</v>
      </c>
      <c r="C50" s="27" t="s">
        <v>86</v>
      </c>
      <c r="D50" s="28" t="s">
        <v>87</v>
      </c>
      <c r="E50" s="28" t="s">
        <v>88</v>
      </c>
    </row>
    <row r="51" spans="2:5" ht="21.75" customHeight="1" x14ac:dyDescent="0.25">
      <c r="B51" s="29">
        <v>1</v>
      </c>
      <c r="C51" s="29" t="s">
        <v>89</v>
      </c>
      <c r="D51" s="30" t="s">
        <v>90</v>
      </c>
      <c r="E51" s="30" t="s">
        <v>91</v>
      </c>
    </row>
  </sheetData>
  <mergeCells count="9">
    <mergeCell ref="B23:E23"/>
    <mergeCell ref="B27:E27"/>
    <mergeCell ref="B36:E36"/>
    <mergeCell ref="B45:E45"/>
    <mergeCell ref="B1:E1"/>
    <mergeCell ref="B2:E2"/>
    <mergeCell ref="B4:E4"/>
    <mergeCell ref="B13:E13"/>
    <mergeCell ref="B14:E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91"/>
  <sheetViews>
    <sheetView showGridLines="0" zoomScaleNormal="100" workbookViewId="0">
      <selection activeCell="H93" sqref="H93"/>
    </sheetView>
  </sheetViews>
  <sheetFormatPr defaultColWidth="8.7109375" defaultRowHeight="15" x14ac:dyDescent="0.25"/>
  <cols>
    <col min="1" max="1" width="3" customWidth="1"/>
    <col min="2" max="3" width="22" customWidth="1"/>
    <col min="4" max="5" width="10" customWidth="1"/>
    <col min="6" max="6" width="22" customWidth="1"/>
    <col min="7" max="7" width="5" customWidth="1"/>
  </cols>
  <sheetData>
    <row r="1" spans="2:6" ht="31.5" customHeight="1" x14ac:dyDescent="0.25">
      <c r="B1" s="114" t="s">
        <v>92</v>
      </c>
      <c r="C1" s="114"/>
      <c r="D1" s="114"/>
      <c r="E1" s="114"/>
      <c r="F1" s="114"/>
    </row>
    <row r="2" spans="2:6" ht="18" customHeight="1" x14ac:dyDescent="0.25">
      <c r="B2" s="115" t="s">
        <v>93</v>
      </c>
      <c r="C2" s="115"/>
      <c r="D2" s="115"/>
      <c r="E2" s="115"/>
      <c r="F2" s="115"/>
    </row>
    <row r="3" spans="2:6" ht="7.5" customHeight="1" x14ac:dyDescent="0.25"/>
    <row r="4" spans="2:6" ht="15.75" customHeight="1" x14ac:dyDescent="0.25">
      <c r="B4" s="110" t="s">
        <v>94</v>
      </c>
      <c r="C4" s="110"/>
      <c r="D4" s="110"/>
      <c r="E4" s="110"/>
      <c r="F4" s="110"/>
    </row>
    <row r="5" spans="2:6" ht="18" customHeight="1" x14ac:dyDescent="0.25">
      <c r="B5" s="6" t="s">
        <v>43</v>
      </c>
      <c r="C5" s="116" t="s">
        <v>565</v>
      </c>
      <c r="D5" s="117"/>
      <c r="E5" s="117"/>
      <c r="F5" s="117"/>
    </row>
    <row r="6" spans="2:6" ht="18" customHeight="1" x14ac:dyDescent="0.25">
      <c r="B6" s="6" t="s">
        <v>48</v>
      </c>
      <c r="C6" s="116" t="s">
        <v>566</v>
      </c>
      <c r="D6" s="117"/>
      <c r="E6" s="117"/>
      <c r="F6" s="117"/>
    </row>
    <row r="7" spans="2:6" ht="18" customHeight="1" x14ac:dyDescent="0.25">
      <c r="B7" s="6" t="s">
        <v>7</v>
      </c>
      <c r="C7" s="116" t="s">
        <v>564</v>
      </c>
      <c r="D7" s="117"/>
      <c r="E7" s="117"/>
      <c r="F7" s="117"/>
    </row>
    <row r="8" spans="2:6" ht="18" customHeight="1" x14ac:dyDescent="0.25">
      <c r="B8" s="6" t="s">
        <v>8</v>
      </c>
      <c r="C8" s="116" t="s">
        <v>567</v>
      </c>
      <c r="D8" s="117"/>
      <c r="E8" s="117"/>
      <c r="F8" s="117"/>
    </row>
    <row r="9" spans="2:6" ht="18" customHeight="1" x14ac:dyDescent="0.25">
      <c r="B9" s="6" t="s">
        <v>95</v>
      </c>
      <c r="C9" s="118">
        <v>46128</v>
      </c>
      <c r="D9" s="117"/>
      <c r="E9" s="117"/>
      <c r="F9" s="117"/>
    </row>
    <row r="10" spans="2:6" ht="18" customHeight="1" x14ac:dyDescent="0.25">
      <c r="B10" s="6" t="s">
        <v>96</v>
      </c>
      <c r="C10" s="119">
        <v>0.41875000000000001</v>
      </c>
      <c r="D10" s="117"/>
      <c r="E10" s="117"/>
      <c r="F10" s="117"/>
    </row>
    <row r="11" spans="2:6" ht="9.75" customHeight="1" x14ac:dyDescent="0.25"/>
    <row r="12" spans="2:6" ht="15.75" customHeight="1" x14ac:dyDescent="0.25">
      <c r="B12" s="110" t="s">
        <v>97</v>
      </c>
      <c r="C12" s="110"/>
      <c r="D12" s="110"/>
      <c r="E12" s="110"/>
      <c r="F12" s="110"/>
    </row>
    <row r="13" spans="2:6" ht="19.5" customHeight="1" x14ac:dyDescent="0.25">
      <c r="B13" s="1" t="s">
        <v>98</v>
      </c>
      <c r="C13" s="1" t="s">
        <v>99</v>
      </c>
      <c r="D13" s="1" t="s">
        <v>100</v>
      </c>
      <c r="E13" s="1" t="s">
        <v>101</v>
      </c>
      <c r="F13" s="1" t="s">
        <v>102</v>
      </c>
    </row>
    <row r="14" spans="2:6" ht="27.75" customHeight="1" x14ac:dyDescent="0.25">
      <c r="B14" s="31" t="s">
        <v>103</v>
      </c>
      <c r="C14" s="3" t="s">
        <v>104</v>
      </c>
      <c r="D14" s="107" t="s">
        <v>568</v>
      </c>
      <c r="E14" s="107" t="s">
        <v>569</v>
      </c>
      <c r="F14" s="32"/>
    </row>
    <row r="15" spans="2:6" ht="27.75" customHeight="1" x14ac:dyDescent="0.25">
      <c r="B15" s="33" t="s">
        <v>105</v>
      </c>
      <c r="C15" s="2" t="s">
        <v>106</v>
      </c>
      <c r="D15" s="107" t="s">
        <v>568</v>
      </c>
      <c r="E15" s="107" t="s">
        <v>570</v>
      </c>
      <c r="F15" s="32"/>
    </row>
    <row r="16" spans="2:6" ht="27.75" customHeight="1" x14ac:dyDescent="0.25">
      <c r="B16" s="31" t="s">
        <v>107</v>
      </c>
      <c r="C16" s="3" t="s">
        <v>108</v>
      </c>
      <c r="D16" s="107" t="s">
        <v>571</v>
      </c>
      <c r="E16" s="107" t="s">
        <v>572</v>
      </c>
      <c r="F16" s="32"/>
    </row>
    <row r="17" spans="2:6" ht="27.75" customHeight="1" x14ac:dyDescent="0.25">
      <c r="B17" s="33" t="s">
        <v>109</v>
      </c>
      <c r="C17" s="2" t="s">
        <v>110</v>
      </c>
      <c r="D17" s="107" t="s">
        <v>571</v>
      </c>
      <c r="E17" s="107" t="s">
        <v>573</v>
      </c>
      <c r="F17" s="32"/>
    </row>
    <row r="18" spans="2:6" ht="27.75" customHeight="1" x14ac:dyDescent="0.25">
      <c r="B18" s="31" t="s">
        <v>111</v>
      </c>
      <c r="C18" s="3" t="s">
        <v>112</v>
      </c>
      <c r="D18" s="107" t="s">
        <v>571</v>
      </c>
      <c r="E18" s="107" t="s">
        <v>574</v>
      </c>
      <c r="F18" s="32"/>
    </row>
    <row r="19" spans="2:6" ht="24" customHeight="1" x14ac:dyDescent="0.25">
      <c r="B19" s="120" t="s">
        <v>113</v>
      </c>
      <c r="C19" s="120"/>
      <c r="D19" s="120"/>
      <c r="E19" s="34">
        <v>4</v>
      </c>
      <c r="F19" s="32" t="s">
        <v>114</v>
      </c>
    </row>
    <row r="20" spans="2:6" ht="9.75" customHeight="1" x14ac:dyDescent="0.25"/>
    <row r="21" spans="2:6" ht="15.75" customHeight="1" x14ac:dyDescent="0.25">
      <c r="B21" s="110" t="s">
        <v>115</v>
      </c>
      <c r="C21" s="110"/>
      <c r="D21" s="110"/>
      <c r="E21" s="110"/>
      <c r="F21" s="110"/>
    </row>
    <row r="22" spans="2:6" ht="19.5" customHeight="1" x14ac:dyDescent="0.25">
      <c r="B22" s="1" t="s">
        <v>116</v>
      </c>
      <c r="C22" s="1" t="s">
        <v>117</v>
      </c>
      <c r="D22" s="1" t="s">
        <v>118</v>
      </c>
      <c r="E22" s="1" t="s">
        <v>119</v>
      </c>
      <c r="F22" s="1" t="s">
        <v>101</v>
      </c>
    </row>
    <row r="23" spans="2:6" ht="24" customHeight="1" x14ac:dyDescent="0.25">
      <c r="B23" s="31" t="s">
        <v>120</v>
      </c>
      <c r="C23" s="3" t="s">
        <v>121</v>
      </c>
      <c r="D23" s="108" t="s">
        <v>575</v>
      </c>
      <c r="E23" s="3" t="s">
        <v>122</v>
      </c>
      <c r="F23" s="26"/>
    </row>
    <row r="24" spans="2:6" ht="24" customHeight="1" x14ac:dyDescent="0.25">
      <c r="B24" s="33" t="s">
        <v>123</v>
      </c>
      <c r="C24" s="2" t="s">
        <v>124</v>
      </c>
      <c r="D24" s="108" t="s">
        <v>576</v>
      </c>
      <c r="E24" s="2" t="s">
        <v>125</v>
      </c>
      <c r="F24" s="108" t="s">
        <v>581</v>
      </c>
    </row>
    <row r="25" spans="2:6" ht="24" customHeight="1" x14ac:dyDescent="0.25">
      <c r="B25" s="31" t="s">
        <v>126</v>
      </c>
      <c r="C25" s="3" t="s">
        <v>127</v>
      </c>
      <c r="D25" s="108" t="s">
        <v>577</v>
      </c>
      <c r="E25" s="3" t="s">
        <v>128</v>
      </c>
      <c r="F25" s="26"/>
    </row>
    <row r="26" spans="2:6" ht="24" customHeight="1" x14ac:dyDescent="0.25">
      <c r="B26" s="33" t="s">
        <v>129</v>
      </c>
      <c r="C26" s="2" t="s">
        <v>130</v>
      </c>
      <c r="D26" s="108" t="s">
        <v>578</v>
      </c>
      <c r="E26" s="2" t="s">
        <v>131</v>
      </c>
      <c r="F26" s="26"/>
    </row>
    <row r="27" spans="2:6" ht="24" customHeight="1" x14ac:dyDescent="0.25">
      <c r="B27" s="31" t="s">
        <v>132</v>
      </c>
      <c r="C27" s="3" t="s">
        <v>133</v>
      </c>
      <c r="D27" s="108" t="s">
        <v>579</v>
      </c>
      <c r="E27" s="3" t="s">
        <v>134</v>
      </c>
      <c r="F27" s="26"/>
    </row>
    <row r="28" spans="2:6" ht="24" customHeight="1" x14ac:dyDescent="0.25">
      <c r="B28" s="33" t="s">
        <v>135</v>
      </c>
      <c r="C28" s="2" t="s">
        <v>136</v>
      </c>
      <c r="D28" s="108" t="s">
        <v>580</v>
      </c>
      <c r="E28" s="2" t="s">
        <v>137</v>
      </c>
      <c r="F28" s="26"/>
    </row>
    <row r="29" spans="2:6" ht="24" customHeight="1" x14ac:dyDescent="0.25">
      <c r="B29" s="120" t="s">
        <v>138</v>
      </c>
      <c r="C29" s="120"/>
      <c r="D29" s="120"/>
      <c r="E29" s="34">
        <v>4</v>
      </c>
      <c r="F29" s="32" t="s">
        <v>114</v>
      </c>
    </row>
    <row r="30" spans="2:6" ht="9.75" customHeight="1" x14ac:dyDescent="0.25"/>
    <row r="31" spans="2:6" ht="15.75" customHeight="1" x14ac:dyDescent="0.25">
      <c r="B31" s="110" t="s">
        <v>139</v>
      </c>
      <c r="C31" s="110"/>
      <c r="D31" s="110"/>
      <c r="E31" s="110"/>
      <c r="F31" s="110"/>
    </row>
    <row r="32" spans="2:6" ht="19.5" customHeight="1" x14ac:dyDescent="0.25">
      <c r="B32" s="1" t="s">
        <v>140</v>
      </c>
      <c r="C32" s="1" t="s">
        <v>141</v>
      </c>
      <c r="D32" s="1" t="s">
        <v>142</v>
      </c>
      <c r="E32" s="1" t="s">
        <v>143</v>
      </c>
      <c r="F32" s="1" t="s">
        <v>101</v>
      </c>
    </row>
    <row r="33" spans="2:6" ht="24" customHeight="1" x14ac:dyDescent="0.25">
      <c r="B33" s="31" t="s">
        <v>144</v>
      </c>
      <c r="C33" s="3" t="s">
        <v>145</v>
      </c>
      <c r="D33" s="109" t="s">
        <v>582</v>
      </c>
      <c r="E33" s="26"/>
      <c r="F33" s="26"/>
    </row>
    <row r="34" spans="2:6" ht="24" customHeight="1" x14ac:dyDescent="0.25">
      <c r="B34" s="33" t="s">
        <v>146</v>
      </c>
      <c r="C34" s="2" t="s">
        <v>147</v>
      </c>
      <c r="D34" s="108" t="s">
        <v>583</v>
      </c>
      <c r="E34" s="26"/>
      <c r="F34" s="26"/>
    </row>
    <row r="35" spans="2:6" ht="24" customHeight="1" x14ac:dyDescent="0.25">
      <c r="B35" s="31" t="s">
        <v>148</v>
      </c>
      <c r="C35" s="3" t="s">
        <v>149</v>
      </c>
      <c r="D35" s="26" t="s">
        <v>591</v>
      </c>
      <c r="E35" s="26"/>
      <c r="F35" s="26"/>
    </row>
    <row r="36" spans="2:6" ht="24" customHeight="1" x14ac:dyDescent="0.25">
      <c r="B36" s="33" t="s">
        <v>150</v>
      </c>
      <c r="C36" s="2" t="s">
        <v>151</v>
      </c>
      <c r="D36" s="26" t="s">
        <v>592</v>
      </c>
      <c r="E36" s="26"/>
      <c r="F36" s="26" t="s">
        <v>594</v>
      </c>
    </row>
    <row r="37" spans="2:6" ht="24" customHeight="1" x14ac:dyDescent="0.25">
      <c r="B37" s="31" t="s">
        <v>152</v>
      </c>
      <c r="C37" s="3" t="s">
        <v>153</v>
      </c>
      <c r="D37" s="26" t="s">
        <v>593</v>
      </c>
      <c r="E37" s="26"/>
      <c r="F37" s="26" t="s">
        <v>595</v>
      </c>
    </row>
    <row r="38" spans="2:6" ht="24" customHeight="1" x14ac:dyDescent="0.25">
      <c r="B38" s="33" t="s">
        <v>154</v>
      </c>
      <c r="C38" s="2" t="s">
        <v>155</v>
      </c>
      <c r="D38" s="26" t="s">
        <v>593</v>
      </c>
      <c r="E38" s="26"/>
      <c r="F38" s="26" t="s">
        <v>596</v>
      </c>
    </row>
    <row r="39" spans="2:6" ht="24" customHeight="1" x14ac:dyDescent="0.25">
      <c r="B39" s="31" t="s">
        <v>156</v>
      </c>
      <c r="C39" s="3" t="s">
        <v>157</v>
      </c>
      <c r="D39" s="26" t="s">
        <v>597</v>
      </c>
      <c r="E39" s="26"/>
      <c r="F39" s="26" t="s">
        <v>598</v>
      </c>
    </row>
    <row r="40" spans="2:6" ht="24" customHeight="1" x14ac:dyDescent="0.25">
      <c r="B40" s="120" t="s">
        <v>158</v>
      </c>
      <c r="C40" s="120"/>
      <c r="D40" s="120"/>
      <c r="E40" s="34">
        <v>5</v>
      </c>
      <c r="F40" s="32" t="s">
        <v>114</v>
      </c>
    </row>
    <row r="41" spans="2:6" ht="9.75" customHeight="1" x14ac:dyDescent="0.25"/>
    <row r="42" spans="2:6" ht="15.75" customHeight="1" x14ac:dyDescent="0.25">
      <c r="B42" s="110" t="s">
        <v>159</v>
      </c>
      <c r="C42" s="110"/>
      <c r="D42" s="110"/>
      <c r="E42" s="110"/>
      <c r="F42" s="110"/>
    </row>
    <row r="43" spans="2:6" ht="19.5" customHeight="1" x14ac:dyDescent="0.25">
      <c r="B43" s="1" t="s">
        <v>55</v>
      </c>
      <c r="C43" s="1" t="s">
        <v>160</v>
      </c>
      <c r="D43" s="1" t="s">
        <v>161</v>
      </c>
      <c r="E43" s="1" t="s">
        <v>162</v>
      </c>
      <c r="F43" s="1" t="s">
        <v>163</v>
      </c>
    </row>
    <row r="44" spans="2:6" ht="24" customHeight="1" x14ac:dyDescent="0.25">
      <c r="B44" s="31" t="s">
        <v>164</v>
      </c>
      <c r="C44" s="3" t="s">
        <v>165</v>
      </c>
      <c r="D44" s="26">
        <v>12</v>
      </c>
      <c r="E44" s="26">
        <v>0</v>
      </c>
      <c r="F44" s="26" t="s">
        <v>593</v>
      </c>
    </row>
    <row r="45" spans="2:6" ht="24" customHeight="1" x14ac:dyDescent="0.25">
      <c r="B45" s="33" t="s">
        <v>166</v>
      </c>
      <c r="C45" s="2" t="s">
        <v>167</v>
      </c>
      <c r="D45" s="26">
        <v>15</v>
      </c>
      <c r="E45" s="26">
        <v>0</v>
      </c>
      <c r="F45" s="26" t="s">
        <v>593</v>
      </c>
    </row>
    <row r="46" spans="2:6" ht="24" customHeight="1" x14ac:dyDescent="0.25">
      <c r="B46" s="31" t="s">
        <v>168</v>
      </c>
      <c r="C46" s="3" t="s">
        <v>169</v>
      </c>
      <c r="D46" s="26">
        <v>20</v>
      </c>
      <c r="E46" s="26">
        <v>1</v>
      </c>
      <c r="F46" s="26" t="s">
        <v>593</v>
      </c>
    </row>
    <row r="47" spans="2:6" ht="24" customHeight="1" x14ac:dyDescent="0.25">
      <c r="B47" s="33" t="s">
        <v>170</v>
      </c>
      <c r="C47" s="2" t="s">
        <v>171</v>
      </c>
      <c r="D47" s="26">
        <v>10</v>
      </c>
      <c r="E47" s="26">
        <v>0</v>
      </c>
      <c r="F47" s="26" t="s">
        <v>593</v>
      </c>
    </row>
    <row r="48" spans="2:6" ht="24" customHeight="1" x14ac:dyDescent="0.25">
      <c r="B48" s="31" t="s">
        <v>172</v>
      </c>
      <c r="C48" s="3" t="s">
        <v>173</v>
      </c>
      <c r="D48" s="26">
        <v>14</v>
      </c>
      <c r="E48" s="26">
        <v>1</v>
      </c>
      <c r="F48" s="26" t="s">
        <v>593</v>
      </c>
    </row>
    <row r="49" spans="2:6" ht="15.75" customHeight="1" x14ac:dyDescent="0.25">
      <c r="B49" s="110" t="s">
        <v>174</v>
      </c>
      <c r="C49" s="110"/>
      <c r="D49" s="110"/>
      <c r="E49" s="110"/>
      <c r="F49" s="110"/>
    </row>
    <row r="50" spans="2:6" ht="18" customHeight="1" x14ac:dyDescent="0.25">
      <c r="B50" s="4" t="s">
        <v>175</v>
      </c>
      <c r="C50" s="4" t="s">
        <v>176</v>
      </c>
      <c r="D50" s="4" t="s">
        <v>177</v>
      </c>
      <c r="E50" s="4" t="s">
        <v>178</v>
      </c>
      <c r="F50" s="4" t="s">
        <v>179</v>
      </c>
    </row>
    <row r="51" spans="2:6" ht="21.75" customHeight="1" x14ac:dyDescent="0.25">
      <c r="B51" s="31" t="s">
        <v>180</v>
      </c>
      <c r="C51" s="3" t="s">
        <v>181</v>
      </c>
      <c r="D51" s="26" t="s">
        <v>599</v>
      </c>
      <c r="E51" s="26"/>
      <c r="F51" s="26"/>
    </row>
    <row r="52" spans="2:6" ht="21.75" customHeight="1" x14ac:dyDescent="0.25">
      <c r="B52" s="33" t="s">
        <v>182</v>
      </c>
      <c r="C52" s="2" t="s">
        <v>183</v>
      </c>
      <c r="D52" s="26" t="s">
        <v>600</v>
      </c>
      <c r="E52" s="26"/>
      <c r="F52" s="26"/>
    </row>
    <row r="53" spans="2:6" ht="21.75" customHeight="1" x14ac:dyDescent="0.25">
      <c r="B53" s="31" t="s">
        <v>184</v>
      </c>
      <c r="C53" s="3" t="s">
        <v>185</v>
      </c>
      <c r="D53" s="26" t="s">
        <v>601</v>
      </c>
      <c r="E53" s="26"/>
      <c r="F53" s="26"/>
    </row>
    <row r="54" spans="2:6" ht="21.75" customHeight="1" x14ac:dyDescent="0.25">
      <c r="B54" s="33" t="s">
        <v>186</v>
      </c>
      <c r="C54" s="2" t="s">
        <v>187</v>
      </c>
      <c r="D54" s="26" t="s">
        <v>602</v>
      </c>
      <c r="E54" s="26"/>
      <c r="F54" s="26"/>
    </row>
    <row r="55" spans="2:6" ht="24" customHeight="1" x14ac:dyDescent="0.25">
      <c r="B55" s="120" t="s">
        <v>188</v>
      </c>
      <c r="C55" s="120"/>
      <c r="D55" s="120"/>
      <c r="E55" s="34">
        <v>4</v>
      </c>
      <c r="F55" s="32" t="s">
        <v>114</v>
      </c>
    </row>
    <row r="56" spans="2:6" ht="9.75" customHeight="1" x14ac:dyDescent="0.25">
      <c r="B56" s="35"/>
      <c r="C56" s="35"/>
      <c r="D56" s="35"/>
      <c r="E56" s="35"/>
      <c r="F56" s="35"/>
    </row>
    <row r="57" spans="2:6" ht="15.75" customHeight="1" x14ac:dyDescent="0.25">
      <c r="B57" s="121" t="s">
        <v>189</v>
      </c>
      <c r="C57" s="121"/>
      <c r="D57" s="121"/>
      <c r="E57" s="121"/>
      <c r="F57" s="121"/>
    </row>
    <row r="58" spans="2:6" ht="19.5" customHeight="1" x14ac:dyDescent="0.25">
      <c r="B58" s="36" t="s">
        <v>190</v>
      </c>
      <c r="C58" s="36" t="s">
        <v>141</v>
      </c>
      <c r="D58" s="36" t="s">
        <v>142</v>
      </c>
      <c r="E58" s="36" t="s">
        <v>143</v>
      </c>
      <c r="F58" s="36" t="s">
        <v>101</v>
      </c>
    </row>
    <row r="59" spans="2:6" ht="27.75" customHeight="1" x14ac:dyDescent="0.25">
      <c r="B59" s="37" t="s">
        <v>191</v>
      </c>
      <c r="C59" s="38" t="s">
        <v>192</v>
      </c>
      <c r="D59" s="38" t="s">
        <v>568</v>
      </c>
      <c r="E59" s="38"/>
      <c r="F59" s="38" t="s">
        <v>605</v>
      </c>
    </row>
    <row r="60" spans="2:6" ht="27.75" customHeight="1" x14ac:dyDescent="0.25">
      <c r="B60" s="39" t="s">
        <v>193</v>
      </c>
      <c r="C60" s="40" t="s">
        <v>194</v>
      </c>
      <c r="D60" s="40" t="s">
        <v>604</v>
      </c>
      <c r="E60" s="40"/>
      <c r="F60" s="40" t="s">
        <v>606</v>
      </c>
    </row>
    <row r="61" spans="2:6" ht="27.75" customHeight="1" x14ac:dyDescent="0.25">
      <c r="B61" s="37" t="s">
        <v>195</v>
      </c>
      <c r="C61" s="38" t="s">
        <v>196</v>
      </c>
      <c r="D61" s="38" t="s">
        <v>568</v>
      </c>
      <c r="E61" s="38"/>
      <c r="F61" s="38" t="s">
        <v>607</v>
      </c>
    </row>
    <row r="62" spans="2:6" ht="27.75" customHeight="1" x14ac:dyDescent="0.25">
      <c r="B62" s="39" t="s">
        <v>197</v>
      </c>
      <c r="C62" s="40" t="s">
        <v>198</v>
      </c>
      <c r="D62" s="38" t="s">
        <v>568</v>
      </c>
      <c r="E62" s="40"/>
      <c r="F62" s="40" t="s">
        <v>608</v>
      </c>
    </row>
    <row r="63" spans="2:6" ht="27.75" customHeight="1" x14ac:dyDescent="0.25">
      <c r="B63" s="37" t="s">
        <v>199</v>
      </c>
      <c r="C63" s="38" t="s">
        <v>200</v>
      </c>
      <c r="D63" s="38" t="s">
        <v>604</v>
      </c>
      <c r="E63" s="38"/>
      <c r="F63" s="38" t="s">
        <v>609</v>
      </c>
    </row>
    <row r="64" spans="2:6" ht="24" customHeight="1" x14ac:dyDescent="0.25">
      <c r="B64" s="122" t="s">
        <v>201</v>
      </c>
      <c r="C64" s="122"/>
      <c r="D64" s="122"/>
      <c r="E64" s="34">
        <v>4</v>
      </c>
      <c r="F64" s="41" t="s">
        <v>114</v>
      </c>
    </row>
    <row r="65" spans="2:6" ht="9.75" customHeight="1" x14ac:dyDescent="0.25">
      <c r="B65" s="35"/>
      <c r="C65" s="35"/>
      <c r="D65" s="35"/>
      <c r="E65" s="35"/>
      <c r="F65" s="35"/>
    </row>
    <row r="66" spans="2:6" ht="15.75" customHeight="1" x14ac:dyDescent="0.25">
      <c r="B66" s="121" t="s">
        <v>202</v>
      </c>
      <c r="C66" s="121"/>
      <c r="D66" s="121"/>
      <c r="E66" s="121"/>
      <c r="F66" s="121"/>
    </row>
    <row r="67" spans="2:6" ht="19.5" customHeight="1" x14ac:dyDescent="0.25">
      <c r="B67" s="36" t="s">
        <v>190</v>
      </c>
      <c r="C67" s="36" t="s">
        <v>141</v>
      </c>
      <c r="D67" s="36" t="s">
        <v>142</v>
      </c>
      <c r="E67" s="36" t="s">
        <v>143</v>
      </c>
      <c r="F67" s="36" t="s">
        <v>101</v>
      </c>
    </row>
    <row r="68" spans="2:6" ht="27.75" customHeight="1" x14ac:dyDescent="0.25">
      <c r="B68" s="37" t="s">
        <v>203</v>
      </c>
      <c r="C68" s="38" t="s">
        <v>204</v>
      </c>
      <c r="D68" s="38" t="s">
        <v>568</v>
      </c>
      <c r="E68" s="38"/>
      <c r="F68" s="38" t="s">
        <v>610</v>
      </c>
    </row>
    <row r="69" spans="2:6" ht="27.75" customHeight="1" x14ac:dyDescent="0.25">
      <c r="B69" s="39" t="s">
        <v>205</v>
      </c>
      <c r="C69" s="40" t="s">
        <v>206</v>
      </c>
      <c r="D69" s="38" t="s">
        <v>568</v>
      </c>
      <c r="E69" s="40"/>
      <c r="F69" s="40" t="s">
        <v>611</v>
      </c>
    </row>
    <row r="70" spans="2:6" ht="27.75" customHeight="1" x14ac:dyDescent="0.25">
      <c r="B70" s="37" t="s">
        <v>207</v>
      </c>
      <c r="C70" s="38" t="s">
        <v>208</v>
      </c>
      <c r="D70" s="38" t="s">
        <v>568</v>
      </c>
      <c r="E70" s="38"/>
      <c r="F70" s="38" t="s">
        <v>612</v>
      </c>
    </row>
    <row r="71" spans="2:6" ht="27.75" customHeight="1" x14ac:dyDescent="0.25">
      <c r="B71" s="39" t="s">
        <v>209</v>
      </c>
      <c r="C71" s="40" t="s">
        <v>210</v>
      </c>
      <c r="D71" s="38" t="s">
        <v>568</v>
      </c>
      <c r="E71" s="40"/>
      <c r="F71" s="40" t="s">
        <v>613</v>
      </c>
    </row>
    <row r="72" spans="2:6" ht="27.75" customHeight="1" x14ac:dyDescent="0.25">
      <c r="B72" s="37" t="s">
        <v>211</v>
      </c>
      <c r="C72" s="38" t="s">
        <v>212</v>
      </c>
      <c r="D72" s="38" t="s">
        <v>568</v>
      </c>
      <c r="E72" s="38"/>
      <c r="F72" s="38" t="s">
        <v>614</v>
      </c>
    </row>
    <row r="73" spans="2:6" ht="27.75" customHeight="1" x14ac:dyDescent="0.25">
      <c r="B73" s="39" t="s">
        <v>213</v>
      </c>
      <c r="C73" s="40" t="s">
        <v>214</v>
      </c>
      <c r="D73" s="38" t="s">
        <v>568</v>
      </c>
      <c r="E73" s="40"/>
      <c r="F73" s="40" t="s">
        <v>615</v>
      </c>
    </row>
    <row r="74" spans="2:6" ht="24" customHeight="1" x14ac:dyDescent="0.25">
      <c r="B74" s="122" t="s">
        <v>215</v>
      </c>
      <c r="C74" s="122"/>
      <c r="D74" s="122"/>
      <c r="E74" s="34">
        <v>5</v>
      </c>
      <c r="F74" s="41" t="s">
        <v>114</v>
      </c>
    </row>
    <row r="75" spans="2:6" ht="9.75" customHeight="1" x14ac:dyDescent="0.25">
      <c r="B75" s="35"/>
      <c r="C75" s="35"/>
      <c r="D75" s="35"/>
      <c r="E75" s="35"/>
      <c r="F75" s="35"/>
    </row>
    <row r="76" spans="2:6" ht="15.75" customHeight="1" x14ac:dyDescent="0.25">
      <c r="B76" s="121" t="s">
        <v>216</v>
      </c>
      <c r="C76" s="121"/>
      <c r="D76" s="121"/>
      <c r="E76" s="121"/>
      <c r="F76" s="121"/>
    </row>
    <row r="77" spans="2:6" ht="19.5" customHeight="1" x14ac:dyDescent="0.25">
      <c r="B77" s="36" t="s">
        <v>190</v>
      </c>
      <c r="C77" s="36" t="s">
        <v>141</v>
      </c>
      <c r="D77" s="36" t="s">
        <v>142</v>
      </c>
      <c r="E77" s="36" t="s">
        <v>143</v>
      </c>
      <c r="F77" s="36" t="s">
        <v>101</v>
      </c>
    </row>
    <row r="78" spans="2:6" ht="27.75" customHeight="1" x14ac:dyDescent="0.25">
      <c r="B78" s="37" t="s">
        <v>217</v>
      </c>
      <c r="C78" s="38" t="s">
        <v>218</v>
      </c>
      <c r="D78" s="38" t="s">
        <v>568</v>
      </c>
      <c r="E78" s="38"/>
      <c r="F78" s="38" t="s">
        <v>616</v>
      </c>
    </row>
    <row r="79" spans="2:6" ht="27.75" customHeight="1" x14ac:dyDescent="0.25">
      <c r="B79" s="39" t="s">
        <v>219</v>
      </c>
      <c r="C79" s="40" t="s">
        <v>220</v>
      </c>
      <c r="D79" s="38" t="s">
        <v>604</v>
      </c>
      <c r="E79" s="40"/>
      <c r="F79" s="40" t="s">
        <v>617</v>
      </c>
    </row>
    <row r="80" spans="2:6" ht="27.75" customHeight="1" x14ac:dyDescent="0.25">
      <c r="B80" s="37" t="s">
        <v>221</v>
      </c>
      <c r="C80" s="38" t="s">
        <v>222</v>
      </c>
      <c r="D80" s="38" t="s">
        <v>604</v>
      </c>
      <c r="E80" s="38"/>
      <c r="F80" s="38" t="s">
        <v>618</v>
      </c>
    </row>
    <row r="81" spans="2:6" ht="27.75" customHeight="1" x14ac:dyDescent="0.25">
      <c r="B81" s="39" t="s">
        <v>223</v>
      </c>
      <c r="C81" s="40" t="s">
        <v>224</v>
      </c>
      <c r="D81" s="38" t="s">
        <v>568</v>
      </c>
      <c r="E81" s="40"/>
      <c r="F81" s="40" t="s">
        <v>619</v>
      </c>
    </row>
    <row r="82" spans="2:6" ht="27.75" customHeight="1" x14ac:dyDescent="0.25">
      <c r="B82" s="37" t="s">
        <v>225</v>
      </c>
      <c r="C82" s="38" t="s">
        <v>226</v>
      </c>
      <c r="D82" s="38" t="s">
        <v>568</v>
      </c>
      <c r="E82" s="38"/>
      <c r="F82" s="38" t="s">
        <v>620</v>
      </c>
    </row>
    <row r="83" spans="2:6" ht="24" customHeight="1" x14ac:dyDescent="0.25">
      <c r="B83" s="122" t="s">
        <v>227</v>
      </c>
      <c r="C83" s="122"/>
      <c r="D83" s="122"/>
      <c r="E83" s="34">
        <v>4</v>
      </c>
      <c r="F83" s="41" t="s">
        <v>114</v>
      </c>
    </row>
    <row r="84" spans="2:6" ht="9.75" customHeight="1" x14ac:dyDescent="0.25">
      <c r="B84" s="35"/>
      <c r="C84" s="35"/>
      <c r="D84" s="35"/>
      <c r="E84" s="35"/>
      <c r="F84" s="35"/>
    </row>
    <row r="85" spans="2:6" ht="15.75" customHeight="1" x14ac:dyDescent="0.25">
      <c r="B85" s="121" t="s">
        <v>228</v>
      </c>
      <c r="C85" s="121"/>
      <c r="D85" s="121"/>
      <c r="E85" s="121"/>
      <c r="F85" s="121"/>
    </row>
    <row r="86" spans="2:6" ht="19.5" customHeight="1" x14ac:dyDescent="0.25">
      <c r="B86" s="36" t="s">
        <v>190</v>
      </c>
      <c r="C86" s="36" t="s">
        <v>141</v>
      </c>
      <c r="D86" s="36" t="s">
        <v>142</v>
      </c>
      <c r="E86" s="36" t="s">
        <v>143</v>
      </c>
      <c r="F86" s="36" t="s">
        <v>101</v>
      </c>
    </row>
    <row r="87" spans="2:6" ht="27.75" customHeight="1" x14ac:dyDescent="0.25">
      <c r="B87" s="37" t="s">
        <v>229</v>
      </c>
      <c r="C87" s="38" t="s">
        <v>230</v>
      </c>
      <c r="D87" s="38" t="s">
        <v>568</v>
      </c>
      <c r="E87" s="38"/>
      <c r="F87" t="s">
        <v>621</v>
      </c>
    </row>
    <row r="88" spans="2:6" ht="27.75" customHeight="1" x14ac:dyDescent="0.25">
      <c r="B88" s="39" t="s">
        <v>231</v>
      </c>
      <c r="C88" s="40" t="s">
        <v>232</v>
      </c>
      <c r="D88" s="38" t="s">
        <v>568</v>
      </c>
      <c r="E88" s="40"/>
      <c r="F88" s="40" t="s">
        <v>622</v>
      </c>
    </row>
    <row r="89" spans="2:6" ht="27.75" customHeight="1" x14ac:dyDescent="0.25">
      <c r="B89" s="37" t="s">
        <v>233</v>
      </c>
      <c r="C89" s="38" t="s">
        <v>234</v>
      </c>
      <c r="D89" s="38" t="s">
        <v>568</v>
      </c>
      <c r="E89" s="38"/>
      <c r="F89" s="38" t="s">
        <v>623</v>
      </c>
    </row>
    <row r="90" spans="2:6" ht="27.75" customHeight="1" x14ac:dyDescent="0.25">
      <c r="B90" s="39" t="s">
        <v>235</v>
      </c>
      <c r="C90" s="40" t="s">
        <v>236</v>
      </c>
      <c r="D90" s="38" t="s">
        <v>568</v>
      </c>
      <c r="E90" s="40"/>
      <c r="F90" s="40" t="s">
        <v>624</v>
      </c>
    </row>
    <row r="91" spans="2:6" ht="24" customHeight="1" x14ac:dyDescent="0.25">
      <c r="B91" s="122" t="s">
        <v>237</v>
      </c>
      <c r="C91" s="122"/>
      <c r="D91" s="122"/>
      <c r="E91" s="34">
        <v>5</v>
      </c>
      <c r="F91" s="41" t="s">
        <v>114</v>
      </c>
    </row>
  </sheetData>
  <mergeCells count="26">
    <mergeCell ref="B91:D91"/>
    <mergeCell ref="B66:F66"/>
    <mergeCell ref="B74:D74"/>
    <mergeCell ref="B76:F76"/>
    <mergeCell ref="B83:D83"/>
    <mergeCell ref="B85:F85"/>
    <mergeCell ref="B42:F42"/>
    <mergeCell ref="B49:F49"/>
    <mergeCell ref="B55:D55"/>
    <mergeCell ref="B57:F57"/>
    <mergeCell ref="B64:D64"/>
    <mergeCell ref="B19:D19"/>
    <mergeCell ref="B21:F21"/>
    <mergeCell ref="B29:D29"/>
    <mergeCell ref="B31:F31"/>
    <mergeCell ref="B40:D40"/>
    <mergeCell ref="C7:F7"/>
    <mergeCell ref="C8:F8"/>
    <mergeCell ref="C9:F9"/>
    <mergeCell ref="C10:F10"/>
    <mergeCell ref="B12:F12"/>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91"/>
  <sheetViews>
    <sheetView showGridLines="0" zoomScaleNormal="100" workbookViewId="0">
      <selection activeCell="C9" sqref="C9:F9"/>
    </sheetView>
  </sheetViews>
  <sheetFormatPr defaultColWidth="8.7109375" defaultRowHeight="15" x14ac:dyDescent="0.25"/>
  <cols>
    <col min="1" max="1" width="3" customWidth="1"/>
    <col min="2" max="3" width="22" customWidth="1"/>
    <col min="4" max="5" width="10" customWidth="1"/>
    <col min="6" max="6" width="22" customWidth="1"/>
    <col min="7" max="7" width="5" customWidth="1"/>
  </cols>
  <sheetData>
    <row r="1" spans="2:6" ht="31.5" customHeight="1" x14ac:dyDescent="0.25">
      <c r="B1" s="114" t="s">
        <v>238</v>
      </c>
      <c r="C1" s="114"/>
      <c r="D1" s="114"/>
      <c r="E1" s="114"/>
      <c r="F1" s="114"/>
    </row>
    <row r="2" spans="2:6" ht="18" customHeight="1" x14ac:dyDescent="0.25">
      <c r="B2" s="115" t="s">
        <v>93</v>
      </c>
      <c r="C2" s="115"/>
      <c r="D2" s="115"/>
      <c r="E2" s="115"/>
      <c r="F2" s="115"/>
    </row>
    <row r="3" spans="2:6" ht="7.5" customHeight="1" x14ac:dyDescent="0.25"/>
    <row r="4" spans="2:6" ht="15.75" customHeight="1" x14ac:dyDescent="0.25">
      <c r="B4" s="110" t="s">
        <v>239</v>
      </c>
      <c r="C4" s="110"/>
      <c r="D4" s="110"/>
      <c r="E4" s="110"/>
      <c r="F4" s="110"/>
    </row>
    <row r="5" spans="2:6" ht="18" customHeight="1" x14ac:dyDescent="0.25">
      <c r="B5" s="6" t="s">
        <v>44</v>
      </c>
      <c r="C5" s="123" t="s">
        <v>585</v>
      </c>
      <c r="D5" s="123"/>
      <c r="E5" s="123"/>
      <c r="F5" s="123"/>
    </row>
    <row r="6" spans="2:6" ht="18" customHeight="1" x14ac:dyDescent="0.25">
      <c r="B6" s="6" t="s">
        <v>48</v>
      </c>
      <c r="C6" s="123" t="s">
        <v>586</v>
      </c>
      <c r="D6" s="123"/>
      <c r="E6" s="123"/>
      <c r="F6" s="123"/>
    </row>
    <row r="7" spans="2:6" ht="18" customHeight="1" x14ac:dyDescent="0.25">
      <c r="B7" s="6" t="s">
        <v>7</v>
      </c>
      <c r="C7" s="123" t="s">
        <v>587</v>
      </c>
      <c r="D7" s="123"/>
      <c r="E7" s="123"/>
      <c r="F7" s="123"/>
    </row>
    <row r="8" spans="2:6" ht="18" customHeight="1" x14ac:dyDescent="0.25">
      <c r="B8" s="6" t="s">
        <v>8</v>
      </c>
      <c r="C8" s="123" t="s">
        <v>586</v>
      </c>
      <c r="D8" s="123"/>
      <c r="E8" s="123"/>
      <c r="F8" s="123"/>
    </row>
    <row r="9" spans="2:6" ht="18" customHeight="1" x14ac:dyDescent="0.25">
      <c r="B9" s="6" t="s">
        <v>95</v>
      </c>
      <c r="C9" s="145">
        <v>46128</v>
      </c>
      <c r="D9" s="123"/>
      <c r="E9" s="123"/>
      <c r="F9" s="123"/>
    </row>
    <row r="10" spans="2:6" ht="18" customHeight="1" x14ac:dyDescent="0.25">
      <c r="B10" s="6" t="s">
        <v>96</v>
      </c>
      <c r="C10" s="146">
        <v>0.5</v>
      </c>
      <c r="D10" s="123"/>
      <c r="E10" s="123"/>
      <c r="F10" s="123"/>
    </row>
    <row r="11" spans="2:6" ht="9.75" customHeight="1" x14ac:dyDescent="0.25"/>
    <row r="12" spans="2:6" ht="15.75" customHeight="1" x14ac:dyDescent="0.25">
      <c r="B12" s="110" t="s">
        <v>240</v>
      </c>
      <c r="C12" s="110"/>
      <c r="D12" s="110"/>
      <c r="E12" s="110"/>
      <c r="F12" s="110"/>
    </row>
    <row r="13" spans="2:6" ht="19.5" customHeight="1" x14ac:dyDescent="0.25">
      <c r="B13" s="1" t="s">
        <v>98</v>
      </c>
      <c r="C13" s="1" t="s">
        <v>99</v>
      </c>
      <c r="D13" s="1" t="s">
        <v>100</v>
      </c>
      <c r="E13" s="1" t="s">
        <v>101</v>
      </c>
      <c r="F13" s="1" t="s">
        <v>102</v>
      </c>
    </row>
    <row r="14" spans="2:6" ht="27.75" customHeight="1" x14ac:dyDescent="0.25">
      <c r="B14" s="31" t="s">
        <v>103</v>
      </c>
      <c r="C14" s="3" t="s">
        <v>104</v>
      </c>
      <c r="D14" s="32" t="s">
        <v>568</v>
      </c>
      <c r="E14" s="32" t="s">
        <v>625</v>
      </c>
      <c r="F14" s="32"/>
    </row>
    <row r="15" spans="2:6" ht="27.75" customHeight="1" x14ac:dyDescent="0.25">
      <c r="B15" s="33" t="s">
        <v>105</v>
      </c>
      <c r="C15" s="2" t="s">
        <v>106</v>
      </c>
      <c r="D15" s="32" t="s">
        <v>568</v>
      </c>
      <c r="E15" s="32" t="s">
        <v>626</v>
      </c>
      <c r="F15" s="32"/>
    </row>
    <row r="16" spans="2:6" ht="27.75" customHeight="1" x14ac:dyDescent="0.25">
      <c r="B16" s="31" t="s">
        <v>107</v>
      </c>
      <c r="C16" s="3" t="s">
        <v>108</v>
      </c>
      <c r="D16" s="32" t="s">
        <v>604</v>
      </c>
      <c r="E16" s="32" t="s">
        <v>627</v>
      </c>
      <c r="F16" s="32"/>
    </row>
    <row r="17" spans="2:6" ht="27.75" customHeight="1" x14ac:dyDescent="0.25">
      <c r="B17" s="33" t="s">
        <v>109</v>
      </c>
      <c r="C17" s="2" t="s">
        <v>110</v>
      </c>
      <c r="D17" s="32" t="s">
        <v>604</v>
      </c>
      <c r="E17" s="32" t="s">
        <v>628</v>
      </c>
      <c r="F17" s="32"/>
    </row>
    <row r="18" spans="2:6" ht="27.75" customHeight="1" x14ac:dyDescent="0.25">
      <c r="B18" s="31" t="s">
        <v>111</v>
      </c>
      <c r="C18" s="3" t="s">
        <v>112</v>
      </c>
      <c r="D18" s="32" t="s">
        <v>604</v>
      </c>
      <c r="E18" s="32" t="s">
        <v>629</v>
      </c>
      <c r="F18" s="32"/>
    </row>
    <row r="19" spans="2:6" ht="24" customHeight="1" x14ac:dyDescent="0.25">
      <c r="B19" s="120" t="s">
        <v>113</v>
      </c>
      <c r="C19" s="120"/>
      <c r="D19" s="120"/>
      <c r="E19" s="34">
        <v>4</v>
      </c>
      <c r="F19" s="32" t="s">
        <v>114</v>
      </c>
    </row>
    <row r="20" spans="2:6" ht="9.75" customHeight="1" x14ac:dyDescent="0.25"/>
    <row r="21" spans="2:6" ht="15.75" customHeight="1" x14ac:dyDescent="0.25">
      <c r="B21" s="110" t="s">
        <v>241</v>
      </c>
      <c r="C21" s="110"/>
      <c r="D21" s="110"/>
      <c r="E21" s="110"/>
      <c r="F21" s="110"/>
    </row>
    <row r="22" spans="2:6" ht="19.5" customHeight="1" x14ac:dyDescent="0.25">
      <c r="B22" s="1" t="s">
        <v>116</v>
      </c>
      <c r="C22" s="1" t="s">
        <v>117</v>
      </c>
      <c r="D22" s="1" t="s">
        <v>118</v>
      </c>
      <c r="E22" s="1" t="s">
        <v>119</v>
      </c>
      <c r="F22" s="1" t="s">
        <v>101</v>
      </c>
    </row>
    <row r="23" spans="2:6" ht="24" customHeight="1" x14ac:dyDescent="0.25">
      <c r="B23" s="31" t="s">
        <v>120</v>
      </c>
      <c r="C23" s="3" t="s">
        <v>121</v>
      </c>
      <c r="D23" s="26" t="s">
        <v>630</v>
      </c>
      <c r="E23" s="3" t="s">
        <v>122</v>
      </c>
      <c r="F23" s="26"/>
    </row>
    <row r="24" spans="2:6" ht="24" customHeight="1" x14ac:dyDescent="0.25">
      <c r="B24" s="33" t="s">
        <v>123</v>
      </c>
      <c r="C24" s="2" t="s">
        <v>124</v>
      </c>
      <c r="D24" s="26" t="s">
        <v>631</v>
      </c>
      <c r="E24" s="2" t="s">
        <v>125</v>
      </c>
      <c r="F24" s="26"/>
    </row>
    <row r="25" spans="2:6" ht="24" customHeight="1" x14ac:dyDescent="0.25">
      <c r="B25" s="31" t="s">
        <v>126</v>
      </c>
      <c r="C25" s="3" t="s">
        <v>127</v>
      </c>
      <c r="D25" s="26" t="s">
        <v>632</v>
      </c>
      <c r="E25" s="3" t="s">
        <v>128</v>
      </c>
      <c r="F25" s="26"/>
    </row>
    <row r="26" spans="2:6" ht="24" customHeight="1" x14ac:dyDescent="0.25">
      <c r="B26" s="33" t="s">
        <v>129</v>
      </c>
      <c r="C26" s="2" t="s">
        <v>130</v>
      </c>
      <c r="D26" s="147">
        <v>7.0000000000000001E-3</v>
      </c>
      <c r="E26" s="2" t="s">
        <v>131</v>
      </c>
      <c r="F26" s="26"/>
    </row>
    <row r="27" spans="2:6" ht="24" customHeight="1" x14ac:dyDescent="0.25">
      <c r="B27" s="31" t="s">
        <v>132</v>
      </c>
      <c r="C27" s="3" t="s">
        <v>133</v>
      </c>
      <c r="D27" s="26" t="s">
        <v>633</v>
      </c>
      <c r="E27" s="3" t="s">
        <v>134</v>
      </c>
      <c r="F27" s="26"/>
    </row>
    <row r="28" spans="2:6" ht="24" customHeight="1" x14ac:dyDescent="0.25">
      <c r="B28" s="33" t="s">
        <v>135</v>
      </c>
      <c r="C28" s="2" t="s">
        <v>136</v>
      </c>
      <c r="D28" s="26" t="s">
        <v>634</v>
      </c>
      <c r="E28" s="2" t="s">
        <v>137</v>
      </c>
      <c r="F28" s="26"/>
    </row>
    <row r="29" spans="2:6" ht="24" customHeight="1" x14ac:dyDescent="0.25">
      <c r="B29" s="120" t="s">
        <v>138</v>
      </c>
      <c r="C29" s="120"/>
      <c r="D29" s="120"/>
      <c r="E29" s="34">
        <v>5</v>
      </c>
      <c r="F29" s="32" t="s">
        <v>114</v>
      </c>
    </row>
    <row r="30" spans="2:6" ht="9.75" customHeight="1" x14ac:dyDescent="0.25"/>
    <row r="31" spans="2:6" ht="15.75" customHeight="1" x14ac:dyDescent="0.25">
      <c r="B31" s="110" t="s">
        <v>242</v>
      </c>
      <c r="C31" s="110"/>
      <c r="D31" s="110"/>
      <c r="E31" s="110"/>
      <c r="F31" s="110"/>
    </row>
    <row r="32" spans="2:6" ht="19.5" customHeight="1" x14ac:dyDescent="0.25">
      <c r="B32" s="1" t="s">
        <v>140</v>
      </c>
      <c r="C32" s="1" t="s">
        <v>141</v>
      </c>
      <c r="D32" s="1" t="s">
        <v>142</v>
      </c>
      <c r="E32" s="1" t="s">
        <v>143</v>
      </c>
      <c r="F32" s="1" t="s">
        <v>101</v>
      </c>
    </row>
    <row r="33" spans="2:6" ht="24" customHeight="1" x14ac:dyDescent="0.25">
      <c r="B33" s="31" t="s">
        <v>144</v>
      </c>
      <c r="C33" s="3" t="s">
        <v>145</v>
      </c>
      <c r="D33" s="26" t="s">
        <v>635</v>
      </c>
      <c r="E33" s="26"/>
      <c r="F33" s="26" t="s">
        <v>637</v>
      </c>
    </row>
    <row r="34" spans="2:6" ht="24" customHeight="1" x14ac:dyDescent="0.25">
      <c r="B34" s="33" t="s">
        <v>146</v>
      </c>
      <c r="C34" s="2" t="s">
        <v>147</v>
      </c>
      <c r="D34" s="26" t="s">
        <v>636</v>
      </c>
      <c r="E34" s="26"/>
      <c r="F34" s="26" t="s">
        <v>638</v>
      </c>
    </row>
    <row r="35" spans="2:6" ht="24" customHeight="1" x14ac:dyDescent="0.25">
      <c r="B35" s="31" t="s">
        <v>148</v>
      </c>
      <c r="C35" s="3" t="s">
        <v>149</v>
      </c>
      <c r="D35" s="26" t="s">
        <v>568</v>
      </c>
      <c r="E35" s="26"/>
      <c r="F35" s="26" t="s">
        <v>639</v>
      </c>
    </row>
    <row r="36" spans="2:6" ht="24" customHeight="1" x14ac:dyDescent="0.25">
      <c r="B36" s="33" t="s">
        <v>150</v>
      </c>
      <c r="C36" s="2" t="s">
        <v>151</v>
      </c>
      <c r="D36" s="26" t="s">
        <v>568</v>
      </c>
      <c r="E36" s="26"/>
      <c r="F36" s="26" t="s">
        <v>640</v>
      </c>
    </row>
    <row r="37" spans="2:6" ht="24" customHeight="1" x14ac:dyDescent="0.25">
      <c r="B37" s="31" t="s">
        <v>152</v>
      </c>
      <c r="C37" s="3" t="s">
        <v>153</v>
      </c>
      <c r="D37" s="26" t="s">
        <v>568</v>
      </c>
      <c r="E37" s="26"/>
      <c r="F37" s="26" t="s">
        <v>641</v>
      </c>
    </row>
    <row r="38" spans="2:6" ht="24" customHeight="1" x14ac:dyDescent="0.25">
      <c r="B38" s="33" t="s">
        <v>154</v>
      </c>
      <c r="C38" s="2" t="s">
        <v>155</v>
      </c>
      <c r="D38" s="26" t="s">
        <v>568</v>
      </c>
      <c r="E38" s="26"/>
      <c r="F38" s="26" t="s">
        <v>642</v>
      </c>
    </row>
    <row r="39" spans="2:6" ht="24" customHeight="1" x14ac:dyDescent="0.25">
      <c r="B39" s="31" t="s">
        <v>156</v>
      </c>
      <c r="C39" s="3" t="s">
        <v>157</v>
      </c>
      <c r="D39" s="26" t="s">
        <v>568</v>
      </c>
      <c r="E39" s="26"/>
      <c r="F39" s="26" t="s">
        <v>643</v>
      </c>
    </row>
    <row r="40" spans="2:6" ht="24" customHeight="1" x14ac:dyDescent="0.25">
      <c r="B40" s="120" t="s">
        <v>158</v>
      </c>
      <c r="C40" s="120"/>
      <c r="D40" s="120"/>
      <c r="E40" s="34">
        <v>4</v>
      </c>
      <c r="F40" s="32" t="s">
        <v>114</v>
      </c>
    </row>
    <row r="41" spans="2:6" ht="9.75" customHeight="1" x14ac:dyDescent="0.25"/>
    <row r="42" spans="2:6" ht="15.75" customHeight="1" x14ac:dyDescent="0.25">
      <c r="B42" s="110" t="s">
        <v>243</v>
      </c>
      <c r="C42" s="110"/>
      <c r="D42" s="110"/>
      <c r="E42" s="110"/>
      <c r="F42" s="110"/>
    </row>
    <row r="43" spans="2:6" ht="19.5" customHeight="1" x14ac:dyDescent="0.25">
      <c r="B43" s="1" t="s">
        <v>55</v>
      </c>
      <c r="C43" s="1" t="s">
        <v>160</v>
      </c>
      <c r="D43" s="1" t="s">
        <v>161</v>
      </c>
      <c r="E43" s="1" t="s">
        <v>162</v>
      </c>
      <c r="F43" s="1" t="s">
        <v>163</v>
      </c>
    </row>
    <row r="44" spans="2:6" ht="24" customHeight="1" x14ac:dyDescent="0.25">
      <c r="B44" s="31" t="s">
        <v>164</v>
      </c>
      <c r="C44" s="3" t="s">
        <v>165</v>
      </c>
      <c r="D44" s="26">
        <v>10</v>
      </c>
      <c r="E44" s="26">
        <v>0</v>
      </c>
      <c r="F44" s="26" t="s">
        <v>593</v>
      </c>
    </row>
    <row r="45" spans="2:6" ht="24" customHeight="1" x14ac:dyDescent="0.25">
      <c r="B45" s="33" t="s">
        <v>166</v>
      </c>
      <c r="C45" s="2" t="s">
        <v>167</v>
      </c>
      <c r="D45" s="26">
        <v>12</v>
      </c>
      <c r="E45" s="26">
        <v>0</v>
      </c>
      <c r="F45" s="26" t="s">
        <v>593</v>
      </c>
    </row>
    <row r="46" spans="2:6" ht="24" customHeight="1" x14ac:dyDescent="0.25">
      <c r="B46" s="31" t="s">
        <v>168</v>
      </c>
      <c r="C46" s="3" t="s">
        <v>169</v>
      </c>
      <c r="D46" s="26">
        <v>18</v>
      </c>
      <c r="E46" s="26">
        <v>1</v>
      </c>
      <c r="F46" s="26" t="s">
        <v>593</v>
      </c>
    </row>
    <row r="47" spans="2:6" ht="24" customHeight="1" x14ac:dyDescent="0.25">
      <c r="B47" s="33" t="s">
        <v>170</v>
      </c>
      <c r="C47" s="2" t="s">
        <v>171</v>
      </c>
      <c r="D47" s="26">
        <v>9</v>
      </c>
      <c r="E47" s="26">
        <v>0</v>
      </c>
      <c r="F47" s="26" t="s">
        <v>593</v>
      </c>
    </row>
    <row r="48" spans="2:6" ht="24" customHeight="1" x14ac:dyDescent="0.25">
      <c r="B48" s="31" t="s">
        <v>172</v>
      </c>
      <c r="C48" s="3" t="s">
        <v>173</v>
      </c>
      <c r="D48" s="26">
        <v>13</v>
      </c>
      <c r="E48" s="26">
        <v>1</v>
      </c>
      <c r="F48" s="26" t="s">
        <v>593</v>
      </c>
    </row>
    <row r="49" spans="2:6" ht="15.75" customHeight="1" x14ac:dyDescent="0.25">
      <c r="B49" s="110" t="s">
        <v>174</v>
      </c>
      <c r="C49" s="110"/>
      <c r="D49" s="110"/>
      <c r="E49" s="110"/>
      <c r="F49" s="110"/>
    </row>
    <row r="50" spans="2:6" ht="18" customHeight="1" x14ac:dyDescent="0.25">
      <c r="B50" s="4" t="s">
        <v>175</v>
      </c>
      <c r="C50" s="4" t="s">
        <v>176</v>
      </c>
      <c r="D50" s="4" t="s">
        <v>177</v>
      </c>
      <c r="E50" s="4" t="s">
        <v>178</v>
      </c>
      <c r="F50" s="4" t="s">
        <v>179</v>
      </c>
    </row>
    <row r="51" spans="2:6" ht="21.75" customHeight="1" x14ac:dyDescent="0.25">
      <c r="B51" s="31" t="s">
        <v>180</v>
      </c>
      <c r="C51" s="3" t="s">
        <v>181</v>
      </c>
      <c r="D51" s="26" t="s">
        <v>644</v>
      </c>
      <c r="E51" s="26"/>
      <c r="F51" s="26"/>
    </row>
    <row r="52" spans="2:6" ht="21.75" customHeight="1" x14ac:dyDescent="0.25">
      <c r="B52" s="33" t="s">
        <v>182</v>
      </c>
      <c r="C52" s="2" t="s">
        <v>183</v>
      </c>
      <c r="D52" s="26" t="s">
        <v>645</v>
      </c>
      <c r="E52" s="26"/>
      <c r="F52" s="26"/>
    </row>
    <row r="53" spans="2:6" ht="21.75" customHeight="1" x14ac:dyDescent="0.25">
      <c r="B53" s="31" t="s">
        <v>184</v>
      </c>
      <c r="C53" s="3" t="s">
        <v>185</v>
      </c>
      <c r="D53" s="26" t="s">
        <v>646</v>
      </c>
      <c r="E53" s="26"/>
      <c r="F53" s="26"/>
    </row>
    <row r="54" spans="2:6" ht="21.75" customHeight="1" x14ac:dyDescent="0.25">
      <c r="B54" s="33" t="s">
        <v>186</v>
      </c>
      <c r="C54" s="2" t="s">
        <v>187</v>
      </c>
      <c r="D54" s="26" t="s">
        <v>647</v>
      </c>
      <c r="E54" s="26"/>
      <c r="F54" s="26"/>
    </row>
    <row r="55" spans="2:6" ht="24" customHeight="1" x14ac:dyDescent="0.25">
      <c r="B55" s="120" t="s">
        <v>188</v>
      </c>
      <c r="C55" s="120"/>
      <c r="D55" s="120"/>
      <c r="E55" s="34">
        <v>4</v>
      </c>
      <c r="F55" s="32" t="s">
        <v>114</v>
      </c>
    </row>
    <row r="56" spans="2:6" ht="9.75" customHeight="1" x14ac:dyDescent="0.25">
      <c r="B56" s="35"/>
      <c r="C56" s="35"/>
      <c r="D56" s="35"/>
      <c r="E56" s="35"/>
      <c r="F56" s="35"/>
    </row>
    <row r="57" spans="2:6" ht="15.75" customHeight="1" x14ac:dyDescent="0.25">
      <c r="B57" s="121" t="s">
        <v>244</v>
      </c>
      <c r="C57" s="121"/>
      <c r="D57" s="121"/>
      <c r="E57" s="121"/>
      <c r="F57" s="121"/>
    </row>
    <row r="58" spans="2:6" ht="19.5" customHeight="1" x14ac:dyDescent="0.25">
      <c r="B58" s="36" t="s">
        <v>190</v>
      </c>
      <c r="C58" s="36" t="s">
        <v>141</v>
      </c>
      <c r="D58" s="36" t="s">
        <v>142</v>
      </c>
      <c r="E58" s="36" t="s">
        <v>143</v>
      </c>
      <c r="F58" s="36" t="s">
        <v>101</v>
      </c>
    </row>
    <row r="59" spans="2:6" ht="27.75" customHeight="1" x14ac:dyDescent="0.25">
      <c r="B59" s="37" t="s">
        <v>191</v>
      </c>
      <c r="C59" s="38" t="s">
        <v>192</v>
      </c>
      <c r="D59" s="38" t="s">
        <v>568</v>
      </c>
      <c r="E59" s="38"/>
      <c r="F59" s="38" t="s">
        <v>648</v>
      </c>
    </row>
    <row r="60" spans="2:6" ht="27.75" customHeight="1" x14ac:dyDescent="0.25">
      <c r="B60" s="39" t="s">
        <v>193</v>
      </c>
      <c r="C60" s="40" t="s">
        <v>194</v>
      </c>
      <c r="D60" s="38" t="s">
        <v>604</v>
      </c>
      <c r="E60" s="40"/>
      <c r="F60" s="40" t="s">
        <v>649</v>
      </c>
    </row>
    <row r="61" spans="2:6" ht="27.75" customHeight="1" x14ac:dyDescent="0.25">
      <c r="B61" s="37" t="s">
        <v>195</v>
      </c>
      <c r="C61" s="38" t="s">
        <v>196</v>
      </c>
      <c r="D61" s="38" t="s">
        <v>568</v>
      </c>
      <c r="E61" s="38"/>
      <c r="F61" s="38" t="s">
        <v>650</v>
      </c>
    </row>
    <row r="62" spans="2:6" ht="27.75" customHeight="1" x14ac:dyDescent="0.25">
      <c r="B62" s="39" t="s">
        <v>197</v>
      </c>
      <c r="C62" s="40" t="s">
        <v>198</v>
      </c>
      <c r="D62" s="38" t="s">
        <v>568</v>
      </c>
      <c r="E62" s="40"/>
      <c r="F62" s="40" t="s">
        <v>651</v>
      </c>
    </row>
    <row r="63" spans="2:6" ht="27.75" customHeight="1" x14ac:dyDescent="0.25">
      <c r="B63" s="37" t="s">
        <v>199</v>
      </c>
      <c r="C63" s="38" t="s">
        <v>200</v>
      </c>
      <c r="D63" s="38" t="s">
        <v>604</v>
      </c>
      <c r="E63" s="38"/>
      <c r="F63" s="38" t="s">
        <v>652</v>
      </c>
    </row>
    <row r="64" spans="2:6" ht="24" customHeight="1" x14ac:dyDescent="0.25">
      <c r="B64" s="122" t="s">
        <v>201</v>
      </c>
      <c r="C64" s="122"/>
      <c r="D64" s="122"/>
      <c r="E64" s="34">
        <v>4</v>
      </c>
      <c r="F64" s="41" t="s">
        <v>114</v>
      </c>
    </row>
    <row r="65" spans="2:6" ht="9.75" customHeight="1" x14ac:dyDescent="0.25">
      <c r="B65" s="35"/>
      <c r="C65" s="35"/>
      <c r="D65" s="35"/>
      <c r="E65" s="35"/>
      <c r="F65" s="35"/>
    </row>
    <row r="66" spans="2:6" ht="15.75" customHeight="1" x14ac:dyDescent="0.25">
      <c r="B66" s="121" t="s">
        <v>245</v>
      </c>
      <c r="C66" s="121"/>
      <c r="D66" s="121"/>
      <c r="E66" s="121"/>
      <c r="F66" s="121"/>
    </row>
    <row r="67" spans="2:6" ht="19.5" customHeight="1" x14ac:dyDescent="0.25">
      <c r="B67" s="36" t="s">
        <v>190</v>
      </c>
      <c r="C67" s="36" t="s">
        <v>141</v>
      </c>
      <c r="D67" s="36" t="s">
        <v>142</v>
      </c>
      <c r="E67" s="36" t="s">
        <v>143</v>
      </c>
      <c r="F67" s="36" t="s">
        <v>101</v>
      </c>
    </row>
    <row r="68" spans="2:6" ht="27.75" customHeight="1" x14ac:dyDescent="0.25">
      <c r="B68" s="37" t="s">
        <v>203</v>
      </c>
      <c r="C68" s="38" t="s">
        <v>204</v>
      </c>
      <c r="D68" s="38" t="s">
        <v>568</v>
      </c>
      <c r="E68" s="38"/>
      <c r="F68" s="38" t="s">
        <v>653</v>
      </c>
    </row>
    <row r="69" spans="2:6" ht="27.75" customHeight="1" x14ac:dyDescent="0.25">
      <c r="B69" s="39" t="s">
        <v>205</v>
      </c>
      <c r="C69" s="40" t="s">
        <v>206</v>
      </c>
      <c r="D69" s="38" t="s">
        <v>568</v>
      </c>
      <c r="E69" s="40"/>
      <c r="F69" s="40" t="s">
        <v>654</v>
      </c>
    </row>
    <row r="70" spans="2:6" ht="27.75" customHeight="1" x14ac:dyDescent="0.25">
      <c r="B70" s="37" t="s">
        <v>207</v>
      </c>
      <c r="C70" s="38" t="s">
        <v>208</v>
      </c>
      <c r="D70" s="38" t="s">
        <v>568</v>
      </c>
      <c r="E70" s="38"/>
      <c r="F70" s="38" t="s">
        <v>655</v>
      </c>
    </row>
    <row r="71" spans="2:6" ht="27.75" customHeight="1" x14ac:dyDescent="0.25">
      <c r="B71" s="39" t="s">
        <v>209</v>
      </c>
      <c r="C71" s="40" t="s">
        <v>210</v>
      </c>
      <c r="D71" s="38" t="s">
        <v>568</v>
      </c>
      <c r="E71" s="40"/>
      <c r="F71" s="40" t="s">
        <v>656</v>
      </c>
    </row>
    <row r="72" spans="2:6" ht="27.75" customHeight="1" x14ac:dyDescent="0.25">
      <c r="B72" s="37" t="s">
        <v>211</v>
      </c>
      <c r="C72" s="38" t="s">
        <v>212</v>
      </c>
      <c r="D72" s="38" t="s">
        <v>568</v>
      </c>
      <c r="E72" s="38"/>
      <c r="F72" s="38" t="s">
        <v>657</v>
      </c>
    </row>
    <row r="73" spans="2:6" ht="27.75" customHeight="1" x14ac:dyDescent="0.25">
      <c r="B73" s="39" t="s">
        <v>213</v>
      </c>
      <c r="C73" s="40" t="s">
        <v>214</v>
      </c>
      <c r="D73" s="38" t="s">
        <v>568</v>
      </c>
      <c r="E73" s="40"/>
      <c r="F73" s="40" t="s">
        <v>615</v>
      </c>
    </row>
    <row r="74" spans="2:6" ht="24" customHeight="1" x14ac:dyDescent="0.25">
      <c r="B74" s="122" t="s">
        <v>215</v>
      </c>
      <c r="C74" s="122"/>
      <c r="D74" s="122"/>
      <c r="E74" s="34">
        <v>5</v>
      </c>
      <c r="F74" s="41" t="s">
        <v>114</v>
      </c>
    </row>
    <row r="75" spans="2:6" ht="9.75" customHeight="1" x14ac:dyDescent="0.25">
      <c r="B75" s="35"/>
      <c r="C75" s="35"/>
      <c r="D75" s="35"/>
      <c r="E75" s="35"/>
      <c r="F75" s="35"/>
    </row>
    <row r="76" spans="2:6" ht="15.75" customHeight="1" x14ac:dyDescent="0.25">
      <c r="B76" s="121" t="s">
        <v>246</v>
      </c>
      <c r="C76" s="121"/>
      <c r="D76" s="121"/>
      <c r="E76" s="121"/>
      <c r="F76" s="121"/>
    </row>
    <row r="77" spans="2:6" ht="19.5" customHeight="1" x14ac:dyDescent="0.25">
      <c r="B77" s="36" t="s">
        <v>190</v>
      </c>
      <c r="C77" s="36" t="s">
        <v>141</v>
      </c>
      <c r="D77" s="36" t="s">
        <v>142</v>
      </c>
      <c r="E77" s="36" t="s">
        <v>143</v>
      </c>
      <c r="F77" s="36" t="s">
        <v>101</v>
      </c>
    </row>
    <row r="78" spans="2:6" ht="27.75" customHeight="1" x14ac:dyDescent="0.25">
      <c r="B78" s="37" t="s">
        <v>217</v>
      </c>
      <c r="C78" s="38" t="s">
        <v>218</v>
      </c>
      <c r="D78" s="38" t="s">
        <v>568</v>
      </c>
      <c r="E78" s="38"/>
      <c r="F78" s="38" t="s">
        <v>658</v>
      </c>
    </row>
    <row r="79" spans="2:6" ht="27.75" customHeight="1" x14ac:dyDescent="0.25">
      <c r="B79" s="39" t="s">
        <v>219</v>
      </c>
      <c r="C79" s="40" t="s">
        <v>220</v>
      </c>
      <c r="D79" s="38" t="s">
        <v>604</v>
      </c>
      <c r="E79" s="40"/>
      <c r="F79" s="40" t="s">
        <v>659</v>
      </c>
    </row>
    <row r="80" spans="2:6" ht="27.75" customHeight="1" x14ac:dyDescent="0.25">
      <c r="B80" s="37" t="s">
        <v>221</v>
      </c>
      <c r="C80" s="38" t="s">
        <v>222</v>
      </c>
      <c r="D80" s="38" t="s">
        <v>604</v>
      </c>
      <c r="E80" s="38"/>
      <c r="F80" s="38" t="s">
        <v>660</v>
      </c>
    </row>
    <row r="81" spans="2:6" ht="27.75" customHeight="1" x14ac:dyDescent="0.25">
      <c r="B81" s="39" t="s">
        <v>223</v>
      </c>
      <c r="C81" s="40" t="s">
        <v>224</v>
      </c>
      <c r="D81" s="38" t="s">
        <v>568</v>
      </c>
      <c r="E81" s="40"/>
      <c r="F81" s="40" t="s">
        <v>661</v>
      </c>
    </row>
    <row r="82" spans="2:6" ht="27.75" customHeight="1" x14ac:dyDescent="0.25">
      <c r="B82" s="37" t="s">
        <v>225</v>
      </c>
      <c r="C82" s="38" t="s">
        <v>226</v>
      </c>
      <c r="D82" s="38" t="s">
        <v>568</v>
      </c>
      <c r="E82" s="38"/>
      <c r="F82" s="38" t="s">
        <v>662</v>
      </c>
    </row>
    <row r="83" spans="2:6" ht="24" customHeight="1" x14ac:dyDescent="0.25">
      <c r="B83" s="122" t="s">
        <v>227</v>
      </c>
      <c r="C83" s="122"/>
      <c r="D83" s="122"/>
      <c r="E83" s="34">
        <v>4</v>
      </c>
      <c r="F83" s="41" t="s">
        <v>114</v>
      </c>
    </row>
    <row r="84" spans="2:6" ht="9.75" customHeight="1" x14ac:dyDescent="0.25">
      <c r="B84" s="35"/>
      <c r="C84" s="35"/>
      <c r="D84" s="35"/>
      <c r="E84" s="35"/>
      <c r="F84" s="35"/>
    </row>
    <row r="85" spans="2:6" ht="15.75" customHeight="1" x14ac:dyDescent="0.25">
      <c r="B85" s="121" t="s">
        <v>247</v>
      </c>
      <c r="C85" s="121"/>
      <c r="D85" s="121"/>
      <c r="E85" s="121"/>
      <c r="F85" s="121"/>
    </row>
    <row r="86" spans="2:6" ht="19.5" customHeight="1" x14ac:dyDescent="0.25">
      <c r="B86" s="36" t="s">
        <v>190</v>
      </c>
      <c r="C86" s="36" t="s">
        <v>141</v>
      </c>
      <c r="D86" s="36" t="s">
        <v>142</v>
      </c>
      <c r="E86" s="36" t="s">
        <v>143</v>
      </c>
      <c r="F86" s="36" t="s">
        <v>101</v>
      </c>
    </row>
    <row r="87" spans="2:6" ht="27.75" customHeight="1" x14ac:dyDescent="0.25">
      <c r="B87" s="37" t="s">
        <v>229</v>
      </c>
      <c r="C87" s="38" t="s">
        <v>230</v>
      </c>
      <c r="D87" s="38" t="s">
        <v>604</v>
      </c>
      <c r="E87" s="38"/>
      <c r="F87" s="38" t="s">
        <v>663</v>
      </c>
    </row>
    <row r="88" spans="2:6" ht="27.75" customHeight="1" x14ac:dyDescent="0.25">
      <c r="B88" s="39" t="s">
        <v>231</v>
      </c>
      <c r="C88" s="40" t="s">
        <v>232</v>
      </c>
      <c r="D88" s="38" t="s">
        <v>568</v>
      </c>
      <c r="E88" s="40"/>
      <c r="F88" s="40" t="s">
        <v>664</v>
      </c>
    </row>
    <row r="89" spans="2:6" ht="27.75" customHeight="1" x14ac:dyDescent="0.25">
      <c r="B89" s="37" t="s">
        <v>233</v>
      </c>
      <c r="C89" s="38" t="s">
        <v>234</v>
      </c>
      <c r="D89" s="38" t="s">
        <v>568</v>
      </c>
      <c r="E89" s="38"/>
      <c r="F89" s="38" t="s">
        <v>665</v>
      </c>
    </row>
    <row r="90" spans="2:6" ht="27.75" customHeight="1" x14ac:dyDescent="0.25">
      <c r="B90" s="39" t="s">
        <v>235</v>
      </c>
      <c r="C90" s="40" t="s">
        <v>236</v>
      </c>
      <c r="D90" s="38" t="s">
        <v>568</v>
      </c>
      <c r="E90" s="40"/>
      <c r="F90" s="40" t="s">
        <v>642</v>
      </c>
    </row>
    <row r="91" spans="2:6" ht="24" customHeight="1" x14ac:dyDescent="0.25">
      <c r="B91" s="122" t="s">
        <v>237</v>
      </c>
      <c r="C91" s="122"/>
      <c r="D91" s="122"/>
      <c r="E91" s="34">
        <v>4</v>
      </c>
      <c r="F91" s="41" t="s">
        <v>114</v>
      </c>
    </row>
  </sheetData>
  <mergeCells count="26">
    <mergeCell ref="B91:D91"/>
    <mergeCell ref="B66:F66"/>
    <mergeCell ref="B74:D74"/>
    <mergeCell ref="B76:F76"/>
    <mergeCell ref="B83:D83"/>
    <mergeCell ref="B85:F85"/>
    <mergeCell ref="B42:F42"/>
    <mergeCell ref="B49:F49"/>
    <mergeCell ref="B55:D55"/>
    <mergeCell ref="B57:F57"/>
    <mergeCell ref="B64:D64"/>
    <mergeCell ref="B19:D19"/>
    <mergeCell ref="B21:F21"/>
    <mergeCell ref="B29:D29"/>
    <mergeCell ref="B31:F31"/>
    <mergeCell ref="B40:D40"/>
    <mergeCell ref="C7:F7"/>
    <mergeCell ref="C8:F8"/>
    <mergeCell ref="C9:F9"/>
    <mergeCell ref="C10:F10"/>
    <mergeCell ref="B12:F12"/>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29"/>
  <sheetViews>
    <sheetView showGridLines="0" zoomScaleNormal="100" workbookViewId="0">
      <selection activeCell="F35" sqref="F35"/>
    </sheetView>
  </sheetViews>
  <sheetFormatPr defaultColWidth="8.7109375" defaultRowHeight="15" x14ac:dyDescent="0.25"/>
  <cols>
    <col min="1" max="1" width="3" customWidth="1"/>
    <col min="2" max="2" width="25" customWidth="1"/>
    <col min="3" max="4" width="8" customWidth="1"/>
    <col min="5" max="5" width="44" customWidth="1"/>
    <col min="6" max="6" width="10" customWidth="1"/>
    <col min="7" max="7" width="5" customWidth="1"/>
  </cols>
  <sheetData>
    <row r="1" spans="2:6" ht="31.5" customHeight="1" x14ac:dyDescent="0.25">
      <c r="B1" s="114" t="s">
        <v>248</v>
      </c>
      <c r="C1" s="114"/>
      <c r="D1" s="114"/>
      <c r="E1" s="114"/>
      <c r="F1" s="114"/>
    </row>
    <row r="2" spans="2:6" ht="18" customHeight="1" x14ac:dyDescent="0.25">
      <c r="B2" s="115" t="s">
        <v>249</v>
      </c>
      <c r="C2" s="115"/>
      <c r="D2" s="115"/>
      <c r="E2" s="115"/>
      <c r="F2" s="115"/>
    </row>
    <row r="3" spans="2:6" ht="7.5" customHeight="1" x14ac:dyDescent="0.25"/>
    <row r="4" spans="2:6" ht="15.75" customHeight="1" x14ac:dyDescent="0.25">
      <c r="B4" s="110" t="s">
        <v>250</v>
      </c>
      <c r="C4" s="110"/>
      <c r="D4" s="110"/>
      <c r="E4" s="110"/>
      <c r="F4" s="110"/>
    </row>
    <row r="5" spans="2:6" ht="18" customHeight="1" x14ac:dyDescent="0.25">
      <c r="B5" s="6" t="s">
        <v>47</v>
      </c>
      <c r="C5" s="123" t="s">
        <v>565</v>
      </c>
      <c r="D5" s="123"/>
      <c r="E5" s="123"/>
      <c r="F5" s="123"/>
    </row>
    <row r="6" spans="2:6" ht="18" customHeight="1" x14ac:dyDescent="0.25">
      <c r="B6" s="6" t="s">
        <v>251</v>
      </c>
      <c r="C6" s="123" t="s">
        <v>566</v>
      </c>
      <c r="D6" s="123"/>
      <c r="E6" s="123"/>
      <c r="F6" s="123"/>
    </row>
    <row r="7" spans="2:6" ht="18" customHeight="1" x14ac:dyDescent="0.25">
      <c r="B7" s="6" t="s">
        <v>252</v>
      </c>
      <c r="C7" s="123" t="s">
        <v>564</v>
      </c>
      <c r="D7" s="123"/>
      <c r="E7" s="123"/>
      <c r="F7" s="123"/>
    </row>
    <row r="8" spans="2:6" ht="18" customHeight="1" x14ac:dyDescent="0.25">
      <c r="B8" s="6" t="s">
        <v>8</v>
      </c>
      <c r="C8" s="123" t="s">
        <v>603</v>
      </c>
      <c r="D8" s="123"/>
      <c r="E8" s="123"/>
      <c r="F8" s="123"/>
    </row>
    <row r="9" spans="2:6" ht="18" customHeight="1" x14ac:dyDescent="0.25">
      <c r="B9" s="6" t="s">
        <v>253</v>
      </c>
      <c r="C9" s="145">
        <v>46128</v>
      </c>
      <c r="D9" s="123"/>
      <c r="E9" s="123"/>
      <c r="F9" s="123"/>
    </row>
    <row r="10" spans="2:6" ht="7.5" customHeight="1" x14ac:dyDescent="0.25"/>
    <row r="11" spans="2:6" ht="15.75" customHeight="1" x14ac:dyDescent="0.25">
      <c r="B11" s="110" t="s">
        <v>254</v>
      </c>
      <c r="C11" s="110"/>
      <c r="D11" s="110"/>
      <c r="E11" s="110"/>
      <c r="F11" s="110"/>
    </row>
    <row r="12" spans="2:6" ht="30" customHeight="1" x14ac:dyDescent="0.25">
      <c r="B12" s="20" t="s">
        <v>255</v>
      </c>
      <c r="C12" s="20" t="s">
        <v>256</v>
      </c>
      <c r="D12" s="20" t="s">
        <v>257</v>
      </c>
      <c r="E12" s="20" t="s">
        <v>258</v>
      </c>
      <c r="F12" s="20" t="s">
        <v>259</v>
      </c>
    </row>
    <row r="13" spans="2:6" ht="69.75" customHeight="1" x14ac:dyDescent="0.25">
      <c r="B13" s="42" t="s">
        <v>260</v>
      </c>
      <c r="C13" s="43">
        <v>4</v>
      </c>
      <c r="D13" s="44" t="s">
        <v>261</v>
      </c>
      <c r="E13" s="45" t="s">
        <v>262</v>
      </c>
      <c r="F13" s="46">
        <f>C13*0.15</f>
        <v>0.6</v>
      </c>
    </row>
    <row r="14" spans="2:6" ht="69.75" customHeight="1" x14ac:dyDescent="0.25">
      <c r="B14" s="47" t="s">
        <v>263</v>
      </c>
      <c r="C14" s="43">
        <v>4</v>
      </c>
      <c r="D14" s="48" t="s">
        <v>264</v>
      </c>
      <c r="E14" s="45" t="s">
        <v>265</v>
      </c>
      <c r="F14" s="49">
        <f>C14*0.12</f>
        <v>0.48</v>
      </c>
    </row>
    <row r="15" spans="2:6" ht="69.75" customHeight="1" x14ac:dyDescent="0.25">
      <c r="B15" s="42" t="s">
        <v>266</v>
      </c>
      <c r="C15" s="43">
        <v>5</v>
      </c>
      <c r="D15" s="44" t="s">
        <v>267</v>
      </c>
      <c r="E15" s="45" t="s">
        <v>268</v>
      </c>
      <c r="F15" s="46">
        <f>C15*0.1</f>
        <v>0.5</v>
      </c>
    </row>
    <row r="16" spans="2:6" ht="69.75" customHeight="1" x14ac:dyDescent="0.25">
      <c r="B16" s="47" t="s">
        <v>269</v>
      </c>
      <c r="C16" s="43">
        <v>4</v>
      </c>
      <c r="D16" s="48" t="s">
        <v>261</v>
      </c>
      <c r="E16" s="45" t="s">
        <v>270</v>
      </c>
      <c r="F16" s="49">
        <f>C16*0.15</f>
        <v>0.6</v>
      </c>
    </row>
    <row r="17" spans="2:6" ht="69.75" customHeight="1" x14ac:dyDescent="0.25">
      <c r="B17" s="42" t="s">
        <v>271</v>
      </c>
      <c r="C17" s="43">
        <v>4</v>
      </c>
      <c r="D17" s="44" t="s">
        <v>261</v>
      </c>
      <c r="E17" s="45" t="s">
        <v>272</v>
      </c>
      <c r="F17" s="46">
        <f>C17*0.15</f>
        <v>0.6</v>
      </c>
    </row>
    <row r="18" spans="2:6" ht="69.75" customHeight="1" x14ac:dyDescent="0.25">
      <c r="B18" s="47" t="s">
        <v>273</v>
      </c>
      <c r="C18" s="43">
        <v>5</v>
      </c>
      <c r="D18" s="48" t="s">
        <v>261</v>
      </c>
      <c r="E18" s="45" t="s">
        <v>274</v>
      </c>
      <c r="F18" s="49">
        <f>C18*0.15</f>
        <v>0.75</v>
      </c>
    </row>
    <row r="19" spans="2:6" ht="69.75" customHeight="1" x14ac:dyDescent="0.25">
      <c r="B19" s="42" t="s">
        <v>275</v>
      </c>
      <c r="C19" s="43">
        <v>4</v>
      </c>
      <c r="D19" s="44" t="s">
        <v>276</v>
      </c>
      <c r="E19" s="45" t="s">
        <v>277</v>
      </c>
      <c r="F19" s="46">
        <f>C19*0.08</f>
        <v>0.32</v>
      </c>
    </row>
    <row r="20" spans="2:6" ht="69.75" customHeight="1" x14ac:dyDescent="0.25">
      <c r="B20" s="47" t="s">
        <v>278</v>
      </c>
      <c r="C20" s="43">
        <v>5</v>
      </c>
      <c r="D20" s="48" t="s">
        <v>267</v>
      </c>
      <c r="E20" s="45" t="s">
        <v>279</v>
      </c>
      <c r="F20" s="49">
        <f>C20*0.1</f>
        <v>0.5</v>
      </c>
    </row>
    <row r="21" spans="2:6" ht="25.5" customHeight="1" x14ac:dyDescent="0.25">
      <c r="B21" s="124" t="s">
        <v>280</v>
      </c>
      <c r="C21" s="124"/>
      <c r="D21" s="124"/>
      <c r="E21" s="124"/>
      <c r="F21" s="50">
        <f>SUM(F13:F20)</f>
        <v>4.3499999999999996</v>
      </c>
    </row>
    <row r="22" spans="2:6" ht="9.75" customHeight="1" x14ac:dyDescent="0.25"/>
    <row r="23" spans="2:6" ht="15.75" customHeight="1" x14ac:dyDescent="0.25">
      <c r="B23" s="110" t="s">
        <v>281</v>
      </c>
      <c r="C23" s="110"/>
      <c r="D23" s="110"/>
      <c r="E23" s="110"/>
      <c r="F23" s="110"/>
    </row>
    <row r="24" spans="2:6" ht="18" customHeight="1" x14ac:dyDescent="0.25">
      <c r="B24" s="4" t="s">
        <v>190</v>
      </c>
      <c r="C24" s="4" t="s">
        <v>282</v>
      </c>
      <c r="D24" s="127"/>
      <c r="E24" s="127"/>
      <c r="F24" s="4"/>
    </row>
    <row r="25" spans="2:6" ht="24" customHeight="1" x14ac:dyDescent="0.25">
      <c r="B25" s="51" t="s">
        <v>283</v>
      </c>
      <c r="C25" s="126" t="s">
        <v>284</v>
      </c>
      <c r="D25" s="126"/>
      <c r="E25" s="52"/>
      <c r="F25" s="53" t="s">
        <v>285</v>
      </c>
    </row>
    <row r="26" spans="2:6" ht="24" customHeight="1" x14ac:dyDescent="0.25">
      <c r="B26" s="54" t="s">
        <v>286</v>
      </c>
      <c r="C26" s="125" t="s">
        <v>287</v>
      </c>
      <c r="D26" s="125"/>
      <c r="E26" s="52"/>
      <c r="F26" s="53" t="s">
        <v>288</v>
      </c>
    </row>
    <row r="27" spans="2:6" ht="24" customHeight="1" x14ac:dyDescent="0.25">
      <c r="B27" s="51" t="s">
        <v>289</v>
      </c>
      <c r="C27" s="126" t="s">
        <v>290</v>
      </c>
      <c r="D27" s="126"/>
      <c r="E27" s="52"/>
      <c r="F27" s="53" t="s">
        <v>291</v>
      </c>
    </row>
    <row r="28" spans="2:6" ht="24" customHeight="1" x14ac:dyDescent="0.25">
      <c r="B28" s="54" t="s">
        <v>292</v>
      </c>
      <c r="C28" s="125" t="s">
        <v>293</v>
      </c>
      <c r="D28" s="125"/>
      <c r="E28" s="52"/>
      <c r="F28" s="53" t="s">
        <v>294</v>
      </c>
    </row>
    <row r="29" spans="2:6" ht="24" customHeight="1" x14ac:dyDescent="0.25">
      <c r="B29" s="51" t="s">
        <v>295</v>
      </c>
      <c r="C29" s="126" t="s">
        <v>296</v>
      </c>
      <c r="D29" s="126"/>
      <c r="E29" s="52"/>
      <c r="F29" s="53" t="s">
        <v>297</v>
      </c>
    </row>
  </sheetData>
  <mergeCells count="17">
    <mergeCell ref="C28:D28"/>
    <mergeCell ref="C29:D29"/>
    <mergeCell ref="B23:F23"/>
    <mergeCell ref="D24:E24"/>
    <mergeCell ref="C25:D25"/>
    <mergeCell ref="C26:D26"/>
    <mergeCell ref="C27:D27"/>
    <mergeCell ref="C7:F7"/>
    <mergeCell ref="C8:F8"/>
    <mergeCell ref="C9:F9"/>
    <mergeCell ref="B11:F11"/>
    <mergeCell ref="B21:E21"/>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9"/>
  <sheetViews>
    <sheetView showGridLines="0" zoomScaleNormal="100" workbookViewId="0">
      <selection activeCell="C9" sqref="C9:F9"/>
    </sheetView>
  </sheetViews>
  <sheetFormatPr defaultColWidth="8.7109375" defaultRowHeight="15" x14ac:dyDescent="0.25"/>
  <cols>
    <col min="1" max="1" width="3" customWidth="1"/>
    <col min="2" max="2" width="25" customWidth="1"/>
    <col min="3" max="4" width="8" customWidth="1"/>
    <col min="5" max="5" width="44" customWidth="1"/>
    <col min="6" max="6" width="10" customWidth="1"/>
    <col min="7" max="7" width="5" customWidth="1"/>
  </cols>
  <sheetData>
    <row r="1" spans="2:6" ht="31.5" customHeight="1" x14ac:dyDescent="0.25">
      <c r="B1" s="114" t="s">
        <v>298</v>
      </c>
      <c r="C1" s="114"/>
      <c r="D1" s="114"/>
      <c r="E1" s="114"/>
      <c r="F1" s="114"/>
    </row>
    <row r="2" spans="2:6" ht="18" customHeight="1" x14ac:dyDescent="0.25">
      <c r="B2" s="128" t="s">
        <v>249</v>
      </c>
      <c r="C2" s="128"/>
      <c r="D2" s="128"/>
      <c r="E2" s="128"/>
      <c r="F2" s="128"/>
    </row>
    <row r="3" spans="2:6" ht="7.5" customHeight="1" x14ac:dyDescent="0.25"/>
    <row r="4" spans="2:6" ht="15.75" customHeight="1" x14ac:dyDescent="0.25">
      <c r="B4" s="110" t="s">
        <v>250</v>
      </c>
      <c r="C4" s="110"/>
      <c r="D4" s="110"/>
      <c r="E4" s="110"/>
      <c r="F4" s="110"/>
    </row>
    <row r="5" spans="2:6" ht="18" customHeight="1" x14ac:dyDescent="0.25">
      <c r="B5" s="6" t="s">
        <v>47</v>
      </c>
      <c r="C5" s="123" t="s">
        <v>585</v>
      </c>
      <c r="D5" s="123"/>
      <c r="E5" s="123"/>
      <c r="F5" s="123"/>
    </row>
    <row r="6" spans="2:6" ht="18" customHeight="1" x14ac:dyDescent="0.25">
      <c r="B6" s="6" t="s">
        <v>251</v>
      </c>
      <c r="C6" s="123" t="s">
        <v>586</v>
      </c>
      <c r="D6" s="123"/>
      <c r="E6" s="123"/>
      <c r="F6" s="123"/>
    </row>
    <row r="7" spans="2:6" ht="18" customHeight="1" x14ac:dyDescent="0.25">
      <c r="B7" s="6" t="s">
        <v>252</v>
      </c>
      <c r="C7" s="123" t="s">
        <v>587</v>
      </c>
      <c r="D7" s="123"/>
      <c r="E7" s="123"/>
      <c r="F7" s="123"/>
    </row>
    <row r="8" spans="2:6" ht="18" customHeight="1" x14ac:dyDescent="0.25">
      <c r="B8" s="6" t="s">
        <v>8</v>
      </c>
      <c r="C8" s="123" t="s">
        <v>586</v>
      </c>
      <c r="D8" s="123"/>
      <c r="E8" s="123"/>
      <c r="F8" s="123"/>
    </row>
    <row r="9" spans="2:6" ht="18" customHeight="1" x14ac:dyDescent="0.25">
      <c r="B9" s="6" t="s">
        <v>253</v>
      </c>
      <c r="C9" s="145">
        <v>46128</v>
      </c>
      <c r="D9" s="123"/>
      <c r="E9" s="123"/>
      <c r="F9" s="123"/>
    </row>
    <row r="10" spans="2:6" ht="7.5" customHeight="1" x14ac:dyDescent="0.25"/>
    <row r="11" spans="2:6" ht="15.75" customHeight="1" x14ac:dyDescent="0.25">
      <c r="B11" s="110" t="s">
        <v>254</v>
      </c>
      <c r="C11" s="110"/>
      <c r="D11" s="110"/>
      <c r="E11" s="110"/>
      <c r="F11" s="110"/>
    </row>
    <row r="12" spans="2:6" ht="30" customHeight="1" x14ac:dyDescent="0.25">
      <c r="B12" s="20" t="s">
        <v>255</v>
      </c>
      <c r="C12" s="20" t="s">
        <v>256</v>
      </c>
      <c r="D12" s="20" t="s">
        <v>257</v>
      </c>
      <c r="E12" s="20" t="s">
        <v>258</v>
      </c>
      <c r="F12" s="20" t="s">
        <v>259</v>
      </c>
    </row>
    <row r="13" spans="2:6" ht="69.75" customHeight="1" x14ac:dyDescent="0.25">
      <c r="B13" s="42" t="s">
        <v>260</v>
      </c>
      <c r="C13" s="43">
        <v>4</v>
      </c>
      <c r="D13" s="44" t="s">
        <v>261</v>
      </c>
      <c r="E13" s="45" t="s">
        <v>262</v>
      </c>
      <c r="F13" s="46">
        <f>C13*0.15</f>
        <v>0.6</v>
      </c>
    </row>
    <row r="14" spans="2:6" ht="69.75" customHeight="1" x14ac:dyDescent="0.25">
      <c r="B14" s="47" t="s">
        <v>263</v>
      </c>
      <c r="C14" s="43">
        <v>5</v>
      </c>
      <c r="D14" s="48" t="s">
        <v>264</v>
      </c>
      <c r="E14" s="45" t="s">
        <v>265</v>
      </c>
      <c r="F14" s="49">
        <f>C14*0.12</f>
        <v>0.6</v>
      </c>
    </row>
    <row r="15" spans="2:6" ht="69.75" customHeight="1" x14ac:dyDescent="0.25">
      <c r="B15" s="42" t="s">
        <v>266</v>
      </c>
      <c r="C15" s="43">
        <v>4</v>
      </c>
      <c r="D15" s="44" t="s">
        <v>267</v>
      </c>
      <c r="E15" s="45" t="s">
        <v>268</v>
      </c>
      <c r="F15" s="46">
        <f>C15*0.1</f>
        <v>0.4</v>
      </c>
    </row>
    <row r="16" spans="2:6" ht="69.75" customHeight="1" x14ac:dyDescent="0.25">
      <c r="B16" s="47" t="s">
        <v>269</v>
      </c>
      <c r="C16" s="43">
        <v>4</v>
      </c>
      <c r="D16" s="48" t="s">
        <v>261</v>
      </c>
      <c r="E16" s="45" t="s">
        <v>270</v>
      </c>
      <c r="F16" s="49">
        <f>C16*0.15</f>
        <v>0.6</v>
      </c>
    </row>
    <row r="17" spans="2:6" ht="69.75" customHeight="1" x14ac:dyDescent="0.25">
      <c r="B17" s="42" t="s">
        <v>271</v>
      </c>
      <c r="C17" s="43">
        <v>4</v>
      </c>
      <c r="D17" s="44" t="s">
        <v>261</v>
      </c>
      <c r="E17" s="45" t="s">
        <v>272</v>
      </c>
      <c r="F17" s="46">
        <f>C17*0.15</f>
        <v>0.6</v>
      </c>
    </row>
    <row r="18" spans="2:6" ht="69.75" customHeight="1" x14ac:dyDescent="0.25">
      <c r="B18" s="47" t="s">
        <v>273</v>
      </c>
      <c r="C18" s="43">
        <v>5</v>
      </c>
      <c r="D18" s="48" t="s">
        <v>261</v>
      </c>
      <c r="E18" s="45" t="s">
        <v>274</v>
      </c>
      <c r="F18" s="49">
        <f>C18*0.15</f>
        <v>0.75</v>
      </c>
    </row>
    <row r="19" spans="2:6" ht="69.75" customHeight="1" x14ac:dyDescent="0.25">
      <c r="B19" s="42" t="s">
        <v>275</v>
      </c>
      <c r="C19" s="43">
        <v>4</v>
      </c>
      <c r="D19" s="44" t="s">
        <v>276</v>
      </c>
      <c r="E19" s="45" t="s">
        <v>277</v>
      </c>
      <c r="F19" s="46">
        <f>C19*0.08</f>
        <v>0.32</v>
      </c>
    </row>
    <row r="20" spans="2:6" ht="69.75" customHeight="1" x14ac:dyDescent="0.25">
      <c r="B20" s="47" t="s">
        <v>278</v>
      </c>
      <c r="C20" s="43">
        <v>4</v>
      </c>
      <c r="D20" s="48" t="s">
        <v>267</v>
      </c>
      <c r="E20" s="45" t="s">
        <v>279</v>
      </c>
      <c r="F20" s="49">
        <f>C20*0.1</f>
        <v>0.4</v>
      </c>
    </row>
    <row r="21" spans="2:6" ht="25.5" customHeight="1" x14ac:dyDescent="0.25">
      <c r="B21" s="124" t="s">
        <v>280</v>
      </c>
      <c r="C21" s="124"/>
      <c r="D21" s="124"/>
      <c r="E21" s="124"/>
      <c r="F21" s="50">
        <f>SUM(F13:F20)</f>
        <v>4.2700000000000005</v>
      </c>
    </row>
    <row r="22" spans="2:6" ht="9.75" customHeight="1" x14ac:dyDescent="0.25"/>
    <row r="23" spans="2:6" ht="15.75" customHeight="1" x14ac:dyDescent="0.25">
      <c r="B23" s="110" t="s">
        <v>281</v>
      </c>
      <c r="C23" s="110"/>
      <c r="D23" s="110"/>
      <c r="E23" s="110"/>
      <c r="F23" s="110"/>
    </row>
    <row r="24" spans="2:6" ht="18" customHeight="1" x14ac:dyDescent="0.25">
      <c r="B24" s="4" t="s">
        <v>190</v>
      </c>
      <c r="C24" s="4" t="s">
        <v>282</v>
      </c>
      <c r="D24" s="127"/>
      <c r="E24" s="127"/>
      <c r="F24" s="4"/>
    </row>
    <row r="25" spans="2:6" ht="24" customHeight="1" x14ac:dyDescent="0.25">
      <c r="B25" s="51" t="s">
        <v>283</v>
      </c>
      <c r="C25" s="126" t="s">
        <v>284</v>
      </c>
      <c r="D25" s="126"/>
      <c r="E25" s="52"/>
      <c r="F25" s="53" t="s">
        <v>285</v>
      </c>
    </row>
    <row r="26" spans="2:6" ht="24" customHeight="1" x14ac:dyDescent="0.25">
      <c r="B26" s="54" t="s">
        <v>286</v>
      </c>
      <c r="C26" s="125" t="s">
        <v>287</v>
      </c>
      <c r="D26" s="125"/>
      <c r="E26" s="52"/>
      <c r="F26" s="53" t="s">
        <v>288</v>
      </c>
    </row>
    <row r="27" spans="2:6" ht="24" customHeight="1" x14ac:dyDescent="0.25">
      <c r="B27" s="51" t="s">
        <v>289</v>
      </c>
      <c r="C27" s="126" t="s">
        <v>290</v>
      </c>
      <c r="D27" s="126"/>
      <c r="E27" s="52"/>
      <c r="F27" s="53" t="s">
        <v>291</v>
      </c>
    </row>
    <row r="28" spans="2:6" ht="24" customHeight="1" x14ac:dyDescent="0.25">
      <c r="B28" s="54" t="s">
        <v>292</v>
      </c>
      <c r="C28" s="125" t="s">
        <v>293</v>
      </c>
      <c r="D28" s="125"/>
      <c r="E28" s="52"/>
      <c r="F28" s="53" t="s">
        <v>294</v>
      </c>
    </row>
    <row r="29" spans="2:6" ht="24" customHeight="1" x14ac:dyDescent="0.25">
      <c r="B29" s="51" t="s">
        <v>295</v>
      </c>
      <c r="C29" s="126" t="s">
        <v>296</v>
      </c>
      <c r="D29" s="126"/>
      <c r="E29" s="52"/>
      <c r="F29" s="53" t="s">
        <v>297</v>
      </c>
    </row>
  </sheetData>
  <mergeCells count="17">
    <mergeCell ref="C28:D28"/>
    <mergeCell ref="C29:D29"/>
    <mergeCell ref="B23:F23"/>
    <mergeCell ref="D24:E24"/>
    <mergeCell ref="C25:D25"/>
    <mergeCell ref="C26:D26"/>
    <mergeCell ref="C27:D27"/>
    <mergeCell ref="C7:F7"/>
    <mergeCell ref="C8:F8"/>
    <mergeCell ref="C9:F9"/>
    <mergeCell ref="B11:F11"/>
    <mergeCell ref="B21:E21"/>
    <mergeCell ref="B1:F1"/>
    <mergeCell ref="B2:F2"/>
    <mergeCell ref="B4:F4"/>
    <mergeCell ref="C5:F5"/>
    <mergeCell ref="C6:F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65"/>
  <sheetViews>
    <sheetView showGridLines="0" zoomScaleNormal="100" workbookViewId="0">
      <selection activeCell="I6" sqref="I6"/>
    </sheetView>
  </sheetViews>
  <sheetFormatPr defaultColWidth="8.7109375" defaultRowHeight="15" x14ac:dyDescent="0.25"/>
  <cols>
    <col min="1" max="1" width="3" customWidth="1"/>
    <col min="2" max="2" width="26" customWidth="1"/>
    <col min="3" max="6" width="10" customWidth="1"/>
    <col min="7" max="7" width="22" customWidth="1"/>
    <col min="8" max="8" width="5" customWidth="1"/>
  </cols>
  <sheetData>
    <row r="1" spans="2:7" ht="31.5" customHeight="1" x14ac:dyDescent="0.25">
      <c r="B1" s="114" t="s">
        <v>299</v>
      </c>
      <c r="C1" s="114"/>
      <c r="D1" s="114"/>
      <c r="E1" s="114"/>
      <c r="F1" s="114"/>
      <c r="G1" s="114"/>
    </row>
    <row r="2" spans="2:7" ht="18" customHeight="1" x14ac:dyDescent="0.25">
      <c r="B2" s="128" t="s">
        <v>300</v>
      </c>
      <c r="C2" s="128"/>
      <c r="D2" s="128"/>
      <c r="E2" s="128"/>
      <c r="F2" s="128"/>
      <c r="G2" s="128"/>
    </row>
    <row r="3" spans="2:7" ht="7.5" customHeight="1" x14ac:dyDescent="0.25"/>
    <row r="4" spans="2:7" ht="15.75" customHeight="1" x14ac:dyDescent="0.25">
      <c r="B4" s="110" t="s">
        <v>301</v>
      </c>
      <c r="C4" s="110"/>
      <c r="D4" s="110"/>
      <c r="E4" s="110"/>
      <c r="F4" s="110"/>
      <c r="G4" s="110"/>
    </row>
    <row r="5" spans="2:7" ht="15.75" customHeight="1" x14ac:dyDescent="0.25">
      <c r="B5" s="6"/>
      <c r="C5" s="6" t="s">
        <v>43</v>
      </c>
      <c r="D5" s="6"/>
      <c r="E5" s="6" t="s">
        <v>44</v>
      </c>
      <c r="F5" s="6"/>
      <c r="G5" s="6" t="s">
        <v>302</v>
      </c>
    </row>
    <row r="6" spans="2:7" ht="21.75" customHeight="1" x14ac:dyDescent="0.25">
      <c r="B6" s="55"/>
      <c r="C6" s="55" t="s">
        <v>22</v>
      </c>
      <c r="D6" s="55"/>
      <c r="E6" s="55" t="s">
        <v>23</v>
      </c>
      <c r="F6" s="55"/>
      <c r="G6" s="55" t="s">
        <v>562</v>
      </c>
    </row>
    <row r="7" spans="2:7" ht="7.5" customHeight="1" x14ac:dyDescent="0.25"/>
    <row r="8" spans="2:7" ht="15.75" customHeight="1" x14ac:dyDescent="0.25">
      <c r="B8" s="110" t="s">
        <v>303</v>
      </c>
      <c r="C8" s="110"/>
      <c r="D8" s="110"/>
      <c r="E8" s="110"/>
      <c r="F8" s="110"/>
      <c r="G8" s="110"/>
    </row>
    <row r="9" spans="2:7" ht="30" customHeight="1" x14ac:dyDescent="0.25">
      <c r="B9" s="20" t="s">
        <v>304</v>
      </c>
      <c r="C9" s="20" t="s">
        <v>257</v>
      </c>
      <c r="D9" s="20" t="s">
        <v>305</v>
      </c>
      <c r="E9" s="20" t="s">
        <v>306</v>
      </c>
      <c r="F9" s="20" t="s">
        <v>307</v>
      </c>
      <c r="G9" s="20" t="s">
        <v>308</v>
      </c>
    </row>
    <row r="10" spans="2:7" ht="21.75" customHeight="1" x14ac:dyDescent="0.25">
      <c r="B10" s="31" t="s">
        <v>260</v>
      </c>
      <c r="C10" s="44" t="s">
        <v>261</v>
      </c>
      <c r="D10" s="56">
        <v>4</v>
      </c>
      <c r="E10" s="56">
        <v>4</v>
      </c>
      <c r="F10" s="57">
        <f t="shared" ref="F10:F17" si="0">ABS(D10-E10)</f>
        <v>0</v>
      </c>
      <c r="G10" s="44" t="str">
        <f t="shared" ref="G10:G17" si="1">IF(D10&gt;E10,"App 1",IF(E10&gt;D10,"App 2","Tied"))</f>
        <v>Tied</v>
      </c>
    </row>
    <row r="11" spans="2:7" ht="21.75" customHeight="1" x14ac:dyDescent="0.25">
      <c r="B11" s="33" t="s">
        <v>263</v>
      </c>
      <c r="C11" s="48" t="s">
        <v>264</v>
      </c>
      <c r="D11" s="56">
        <v>4</v>
      </c>
      <c r="E11" s="56">
        <v>5</v>
      </c>
      <c r="F11" s="58">
        <f t="shared" si="0"/>
        <v>1</v>
      </c>
      <c r="G11" s="48" t="str">
        <f t="shared" si="1"/>
        <v>App 2</v>
      </c>
    </row>
    <row r="12" spans="2:7" ht="21.75" customHeight="1" x14ac:dyDescent="0.25">
      <c r="B12" s="31" t="s">
        <v>266</v>
      </c>
      <c r="C12" s="44" t="s">
        <v>267</v>
      </c>
      <c r="D12" s="56">
        <v>5</v>
      </c>
      <c r="E12" s="56">
        <v>4</v>
      </c>
      <c r="F12" s="57">
        <f t="shared" si="0"/>
        <v>1</v>
      </c>
      <c r="G12" s="44" t="str">
        <f t="shared" si="1"/>
        <v>App 1</v>
      </c>
    </row>
    <row r="13" spans="2:7" ht="21.75" customHeight="1" x14ac:dyDescent="0.25">
      <c r="B13" s="33" t="s">
        <v>269</v>
      </c>
      <c r="C13" s="48" t="s">
        <v>261</v>
      </c>
      <c r="D13" s="56">
        <v>4</v>
      </c>
      <c r="E13" s="56">
        <v>4</v>
      </c>
      <c r="F13" s="58">
        <f t="shared" si="0"/>
        <v>0</v>
      </c>
      <c r="G13" s="48" t="str">
        <f t="shared" si="1"/>
        <v>Tied</v>
      </c>
    </row>
    <row r="14" spans="2:7" ht="21.75" customHeight="1" x14ac:dyDescent="0.25">
      <c r="B14" s="31" t="s">
        <v>271</v>
      </c>
      <c r="C14" s="44" t="s">
        <v>261</v>
      </c>
      <c r="D14" s="56">
        <v>4</v>
      </c>
      <c r="E14" s="56">
        <v>4</v>
      </c>
      <c r="F14" s="57">
        <f t="shared" si="0"/>
        <v>0</v>
      </c>
      <c r="G14" s="44" t="str">
        <f t="shared" si="1"/>
        <v>Tied</v>
      </c>
    </row>
    <row r="15" spans="2:7" ht="21.75" customHeight="1" x14ac:dyDescent="0.25">
      <c r="B15" s="33" t="s">
        <v>273</v>
      </c>
      <c r="C15" s="48" t="s">
        <v>261</v>
      </c>
      <c r="D15" s="56">
        <v>5</v>
      </c>
      <c r="E15" s="56">
        <v>5</v>
      </c>
      <c r="F15" s="58">
        <f t="shared" si="0"/>
        <v>0</v>
      </c>
      <c r="G15" s="48" t="str">
        <f t="shared" si="1"/>
        <v>Tied</v>
      </c>
    </row>
    <row r="16" spans="2:7" ht="21.75" customHeight="1" x14ac:dyDescent="0.25">
      <c r="B16" s="31" t="s">
        <v>275</v>
      </c>
      <c r="C16" s="44" t="s">
        <v>276</v>
      </c>
      <c r="D16" s="56">
        <v>4</v>
      </c>
      <c r="E16" s="56">
        <v>4</v>
      </c>
      <c r="F16" s="57">
        <f t="shared" si="0"/>
        <v>0</v>
      </c>
      <c r="G16" s="44" t="str">
        <f t="shared" si="1"/>
        <v>Tied</v>
      </c>
    </row>
    <row r="17" spans="2:7" ht="21.75" customHeight="1" x14ac:dyDescent="0.25">
      <c r="B17" s="33" t="s">
        <v>278</v>
      </c>
      <c r="C17" s="48" t="s">
        <v>267</v>
      </c>
      <c r="D17" s="56">
        <v>5</v>
      </c>
      <c r="E17" s="56">
        <v>4</v>
      </c>
      <c r="F17" s="58">
        <f t="shared" si="0"/>
        <v>1</v>
      </c>
      <c r="G17" s="48" t="str">
        <f t="shared" si="1"/>
        <v>App 1</v>
      </c>
    </row>
    <row r="18" spans="2:7" ht="21.75" customHeight="1" x14ac:dyDescent="0.25">
      <c r="B18" s="1"/>
      <c r="C18" s="1"/>
      <c r="D18" s="1" t="s">
        <v>309</v>
      </c>
      <c r="E18" s="1" t="s">
        <v>310</v>
      </c>
      <c r="F18" s="1" t="s">
        <v>311</v>
      </c>
      <c r="G18" s="1"/>
    </row>
    <row r="19" spans="2:7" ht="25.5" customHeight="1" x14ac:dyDescent="0.25">
      <c r="B19" s="129" t="s">
        <v>312</v>
      </c>
      <c r="C19" s="129"/>
      <c r="D19" s="50">
        <f>D10*0.15+D11*0.12+D12*0.1+D13*0.15+D14*0.15+D15*0.15+D16*0.08+D17*0.1</f>
        <v>4.3499999999999996</v>
      </c>
      <c r="E19" s="50">
        <f>E10*0.15+E11*0.12+E12*0.1+E13*0.15+E14*0.15+E15*0.15+E16*0.08+E17*0.1</f>
        <v>4.2700000000000005</v>
      </c>
      <c r="F19" s="59">
        <f>ABS(D19-E19)</f>
        <v>7.9999999999999183E-2</v>
      </c>
      <c r="G19" s="60" t="str">
        <f>IF(D19&gt;E19,"App 1 — "&amp;C6," App 2 — "&amp;C6)</f>
        <v>App 1 — Google Maps</v>
      </c>
    </row>
    <row r="20" spans="2:7" ht="9.75" customHeight="1" x14ac:dyDescent="0.25"/>
    <row r="21" spans="2:7" ht="15.75" customHeight="1" x14ac:dyDescent="0.25">
      <c r="B21" s="110" t="s">
        <v>313</v>
      </c>
      <c r="C21" s="110"/>
      <c r="D21" s="110"/>
      <c r="E21" s="110"/>
      <c r="F21" s="110"/>
      <c r="G21" s="110"/>
    </row>
    <row r="22" spans="2:7" ht="18" customHeight="1" x14ac:dyDescent="0.25">
      <c r="B22" s="128" t="s">
        <v>314</v>
      </c>
      <c r="C22" s="128"/>
      <c r="D22" s="128"/>
      <c r="E22" s="128"/>
      <c r="F22" s="128"/>
      <c r="G22" s="128"/>
    </row>
    <row r="23" spans="2:7" ht="19.5" customHeight="1" x14ac:dyDescent="0.25">
      <c r="B23" s="1" t="s">
        <v>315</v>
      </c>
      <c r="C23" s="1" t="s">
        <v>257</v>
      </c>
      <c r="D23" s="1" t="s">
        <v>316</v>
      </c>
      <c r="E23" s="1" t="s">
        <v>317</v>
      </c>
      <c r="F23" s="1" t="s">
        <v>318</v>
      </c>
      <c r="G23" s="1" t="s">
        <v>319</v>
      </c>
    </row>
    <row r="24" spans="2:7" ht="18" customHeight="1" x14ac:dyDescent="0.25">
      <c r="B24" s="31" t="s">
        <v>260</v>
      </c>
      <c r="C24" s="61">
        <v>0.15</v>
      </c>
      <c r="D24" s="62">
        <f t="shared" ref="D24:E31" si="2">D10</f>
        <v>4</v>
      </c>
      <c r="E24" s="62">
        <f t="shared" si="2"/>
        <v>4</v>
      </c>
      <c r="F24" s="63">
        <f>D24*0.15</f>
        <v>0.6</v>
      </c>
      <c r="G24" s="64">
        <f>E24*0.15</f>
        <v>0.6</v>
      </c>
    </row>
    <row r="25" spans="2:7" ht="18" customHeight="1" x14ac:dyDescent="0.25">
      <c r="B25" s="33" t="s">
        <v>263</v>
      </c>
      <c r="C25" s="65">
        <v>0.12</v>
      </c>
      <c r="D25" s="62">
        <f t="shared" si="2"/>
        <v>4</v>
      </c>
      <c r="E25" s="62">
        <f t="shared" si="2"/>
        <v>5</v>
      </c>
      <c r="F25" s="66">
        <f>D25*0.12</f>
        <v>0.48</v>
      </c>
      <c r="G25" s="67">
        <f>E25*0.12</f>
        <v>0.6</v>
      </c>
    </row>
    <row r="26" spans="2:7" ht="18" customHeight="1" x14ac:dyDescent="0.25">
      <c r="B26" s="31" t="s">
        <v>266</v>
      </c>
      <c r="C26" s="61">
        <v>0.1</v>
      </c>
      <c r="D26" s="62">
        <f t="shared" si="2"/>
        <v>5</v>
      </c>
      <c r="E26" s="62">
        <f t="shared" si="2"/>
        <v>4</v>
      </c>
      <c r="F26" s="63">
        <f>D26*0.1</f>
        <v>0.5</v>
      </c>
      <c r="G26" s="64">
        <f>E26*0.1</f>
        <v>0.4</v>
      </c>
    </row>
    <row r="27" spans="2:7" ht="18" customHeight="1" x14ac:dyDescent="0.25">
      <c r="B27" s="33" t="s">
        <v>269</v>
      </c>
      <c r="C27" s="65">
        <v>0.15</v>
      </c>
      <c r="D27" s="62">
        <f t="shared" si="2"/>
        <v>4</v>
      </c>
      <c r="E27" s="62">
        <f t="shared" si="2"/>
        <v>4</v>
      </c>
      <c r="F27" s="66">
        <f t="shared" ref="F27:G29" si="3">D27*0.15</f>
        <v>0.6</v>
      </c>
      <c r="G27" s="67">
        <f t="shared" si="3"/>
        <v>0.6</v>
      </c>
    </row>
    <row r="28" spans="2:7" ht="18" customHeight="1" x14ac:dyDescent="0.25">
      <c r="B28" s="31" t="s">
        <v>271</v>
      </c>
      <c r="C28" s="61">
        <v>0.15</v>
      </c>
      <c r="D28" s="62">
        <f t="shared" si="2"/>
        <v>4</v>
      </c>
      <c r="E28" s="62">
        <f t="shared" si="2"/>
        <v>4</v>
      </c>
      <c r="F28" s="63">
        <f t="shared" si="3"/>
        <v>0.6</v>
      </c>
      <c r="G28" s="64">
        <f t="shared" si="3"/>
        <v>0.6</v>
      </c>
    </row>
    <row r="29" spans="2:7" ht="18" customHeight="1" x14ac:dyDescent="0.25">
      <c r="B29" s="33" t="s">
        <v>273</v>
      </c>
      <c r="C29" s="65">
        <v>0.15</v>
      </c>
      <c r="D29" s="62">
        <f t="shared" si="2"/>
        <v>5</v>
      </c>
      <c r="E29" s="62">
        <f t="shared" si="2"/>
        <v>5</v>
      </c>
      <c r="F29" s="66">
        <f t="shared" si="3"/>
        <v>0.75</v>
      </c>
      <c r="G29" s="67">
        <f t="shared" si="3"/>
        <v>0.75</v>
      </c>
    </row>
    <row r="30" spans="2:7" ht="18" customHeight="1" x14ac:dyDescent="0.25">
      <c r="B30" s="31" t="s">
        <v>275</v>
      </c>
      <c r="C30" s="61">
        <v>0.08</v>
      </c>
      <c r="D30" s="62">
        <f t="shared" si="2"/>
        <v>4</v>
      </c>
      <c r="E30" s="62">
        <f t="shared" si="2"/>
        <v>4</v>
      </c>
      <c r="F30" s="63">
        <f>D30*0.08</f>
        <v>0.32</v>
      </c>
      <c r="G30" s="64">
        <f>E30*0.08</f>
        <v>0.32</v>
      </c>
    </row>
    <row r="31" spans="2:7" ht="18" customHeight="1" x14ac:dyDescent="0.25">
      <c r="B31" s="33" t="s">
        <v>278</v>
      </c>
      <c r="C31" s="65">
        <v>0.1</v>
      </c>
      <c r="D31" s="62">
        <f t="shared" si="2"/>
        <v>5</v>
      </c>
      <c r="E31" s="62">
        <f t="shared" si="2"/>
        <v>4</v>
      </c>
      <c r="F31" s="66">
        <f>D31*0.1</f>
        <v>0.5</v>
      </c>
      <c r="G31" s="67">
        <f>E31*0.1</f>
        <v>0.4</v>
      </c>
    </row>
    <row r="32" spans="2:7" ht="9.75" customHeight="1" x14ac:dyDescent="0.25"/>
    <row r="33" spans="2:7" ht="15.75" customHeight="1" x14ac:dyDescent="0.25">
      <c r="B33" s="110" t="s">
        <v>320</v>
      </c>
      <c r="C33" s="110"/>
      <c r="D33" s="110"/>
      <c r="E33" s="110"/>
      <c r="F33" s="110"/>
      <c r="G33" s="110"/>
    </row>
    <row r="34" spans="2:7" ht="19.5" customHeight="1" x14ac:dyDescent="0.25">
      <c r="B34" s="130" t="s">
        <v>321</v>
      </c>
      <c r="C34" s="130"/>
      <c r="D34" s="130"/>
      <c r="E34" s="130"/>
      <c r="F34" s="130"/>
      <c r="G34" s="130"/>
    </row>
    <row r="35" spans="2:7" ht="19.5" customHeight="1" x14ac:dyDescent="0.25">
      <c r="B35" s="130"/>
      <c r="C35" s="130"/>
      <c r="D35" s="130"/>
      <c r="E35" s="130"/>
      <c r="F35" s="130"/>
      <c r="G35" s="130"/>
    </row>
    <row r="36" spans="2:7" ht="9.75" customHeight="1" x14ac:dyDescent="0.25"/>
    <row r="37" spans="2:7" ht="15.75" customHeight="1" x14ac:dyDescent="0.25">
      <c r="B37" s="110" t="s">
        <v>322</v>
      </c>
      <c r="C37" s="110"/>
      <c r="D37" s="110"/>
      <c r="E37" s="110"/>
      <c r="F37" s="110"/>
      <c r="G37" s="110"/>
    </row>
    <row r="38" spans="2:7" ht="18" customHeight="1" x14ac:dyDescent="0.25">
      <c r="B38" s="127" t="s">
        <v>323</v>
      </c>
      <c r="C38" s="127"/>
      <c r="D38" s="127"/>
      <c r="E38" s="127" t="s">
        <v>324</v>
      </c>
      <c r="F38" s="127"/>
      <c r="G38" s="4" t="s">
        <v>325</v>
      </c>
    </row>
    <row r="39" spans="2:7" ht="24" customHeight="1" x14ac:dyDescent="0.25">
      <c r="B39" s="131" t="s">
        <v>326</v>
      </c>
      <c r="C39" s="131"/>
      <c r="D39" s="131"/>
      <c r="E39" s="125" t="s">
        <v>327</v>
      </c>
      <c r="F39" s="125"/>
      <c r="G39" s="68" t="s">
        <v>328</v>
      </c>
    </row>
    <row r="40" spans="2:7" ht="24" customHeight="1" x14ac:dyDescent="0.25">
      <c r="B40" s="132" t="s">
        <v>329</v>
      </c>
      <c r="C40" s="132"/>
      <c r="D40" s="132"/>
      <c r="E40" s="125" t="s">
        <v>330</v>
      </c>
      <c r="F40" s="125"/>
      <c r="G40" s="68" t="s">
        <v>328</v>
      </c>
    </row>
    <row r="41" spans="2:7" ht="24" customHeight="1" x14ac:dyDescent="0.25">
      <c r="B41" s="131" t="s">
        <v>331</v>
      </c>
      <c r="C41" s="131"/>
      <c r="D41" s="131"/>
      <c r="E41" s="125" t="s">
        <v>332</v>
      </c>
      <c r="F41" s="125"/>
      <c r="G41" s="68" t="s">
        <v>333</v>
      </c>
    </row>
    <row r="42" spans="2:7" ht="24" customHeight="1" x14ac:dyDescent="0.25">
      <c r="B42" s="132" t="s">
        <v>334</v>
      </c>
      <c r="C42" s="132"/>
      <c r="D42" s="132"/>
      <c r="E42" s="125" t="s">
        <v>335</v>
      </c>
      <c r="F42" s="125"/>
      <c r="G42" s="68" t="s">
        <v>336</v>
      </c>
    </row>
    <row r="43" spans="2:7" ht="24" customHeight="1" x14ac:dyDescent="0.25">
      <c r="B43" s="131" t="s">
        <v>337</v>
      </c>
      <c r="C43" s="131"/>
      <c r="D43" s="131"/>
      <c r="E43" s="125" t="s">
        <v>338</v>
      </c>
      <c r="F43" s="125"/>
      <c r="G43" s="68" t="s">
        <v>336</v>
      </c>
    </row>
    <row r="44" spans="2:7" ht="9.75" customHeight="1" x14ac:dyDescent="0.25"/>
    <row r="45" spans="2:7" ht="15.75" customHeight="1" x14ac:dyDescent="0.25">
      <c r="B45" s="110" t="s">
        <v>339</v>
      </c>
      <c r="C45" s="110"/>
      <c r="D45" s="110"/>
      <c r="E45" s="110"/>
      <c r="F45" s="110"/>
      <c r="G45" s="110"/>
    </row>
    <row r="46" spans="2:7" ht="15.75" customHeight="1" x14ac:dyDescent="0.25">
      <c r="B46" s="110" t="s">
        <v>340</v>
      </c>
      <c r="C46" s="110"/>
      <c r="D46" s="110"/>
      <c r="E46" s="110"/>
      <c r="F46" s="110"/>
      <c r="G46" s="110"/>
    </row>
    <row r="47" spans="2:7" ht="18" customHeight="1" x14ac:dyDescent="0.25">
      <c r="B47" s="133" t="s">
        <v>341</v>
      </c>
      <c r="C47" s="133"/>
      <c r="D47" s="133"/>
      <c r="E47" s="133"/>
      <c r="F47" s="133"/>
      <c r="G47" s="133"/>
    </row>
    <row r="48" spans="2:7" ht="18" customHeight="1" x14ac:dyDescent="0.25">
      <c r="B48" s="133"/>
      <c r="C48" s="133"/>
      <c r="D48" s="133"/>
      <c r="E48" s="133"/>
      <c r="F48" s="133"/>
      <c r="G48" s="133"/>
    </row>
    <row r="49" spans="2:7" ht="18" customHeight="1" x14ac:dyDescent="0.25">
      <c r="B49" s="133"/>
      <c r="C49" s="133"/>
      <c r="D49" s="133"/>
      <c r="E49" s="133"/>
      <c r="F49" s="133"/>
      <c r="G49" s="133"/>
    </row>
    <row r="50" spans="2:7" ht="18" customHeight="1" x14ac:dyDescent="0.25">
      <c r="B50" s="133"/>
      <c r="C50" s="133"/>
      <c r="D50" s="133"/>
      <c r="E50" s="133"/>
      <c r="F50" s="133"/>
      <c r="G50" s="133"/>
    </row>
    <row r="51" spans="2:7" ht="15.75" customHeight="1" x14ac:dyDescent="0.25">
      <c r="B51" s="110" t="s">
        <v>342</v>
      </c>
      <c r="C51" s="110"/>
      <c r="D51" s="110"/>
      <c r="E51" s="110"/>
      <c r="F51" s="110"/>
      <c r="G51" s="110"/>
    </row>
    <row r="52" spans="2:7" ht="18" customHeight="1" x14ac:dyDescent="0.25">
      <c r="B52" s="133" t="s">
        <v>343</v>
      </c>
      <c r="C52" s="133"/>
      <c r="D52" s="133"/>
      <c r="E52" s="133"/>
      <c r="F52" s="133"/>
      <c r="G52" s="133"/>
    </row>
    <row r="53" spans="2:7" ht="18" customHeight="1" x14ac:dyDescent="0.25">
      <c r="B53" s="133"/>
      <c r="C53" s="133"/>
      <c r="D53" s="133"/>
      <c r="E53" s="133"/>
      <c r="F53" s="133"/>
      <c r="G53" s="133"/>
    </row>
    <row r="54" spans="2:7" ht="18" customHeight="1" x14ac:dyDescent="0.25">
      <c r="B54" s="133"/>
      <c r="C54" s="133"/>
      <c r="D54" s="133"/>
      <c r="E54" s="133"/>
      <c r="F54" s="133"/>
      <c r="G54" s="133"/>
    </row>
    <row r="55" spans="2:7" ht="18" customHeight="1" x14ac:dyDescent="0.25">
      <c r="B55" s="133"/>
      <c r="C55" s="133"/>
      <c r="D55" s="133"/>
      <c r="E55" s="133"/>
      <c r="F55" s="133"/>
      <c r="G55" s="133"/>
    </row>
    <row r="56" spans="2:7" ht="15.75" customHeight="1" x14ac:dyDescent="0.25">
      <c r="B56" s="110" t="s">
        <v>344</v>
      </c>
      <c r="C56" s="110"/>
      <c r="D56" s="110"/>
      <c r="E56" s="110"/>
      <c r="F56" s="110"/>
      <c r="G56" s="110"/>
    </row>
    <row r="57" spans="2:7" ht="18" customHeight="1" x14ac:dyDescent="0.25">
      <c r="B57" s="133" t="s">
        <v>345</v>
      </c>
      <c r="C57" s="133"/>
      <c r="D57" s="133"/>
      <c r="E57" s="133"/>
      <c r="F57" s="133"/>
      <c r="G57" s="133"/>
    </row>
    <row r="58" spans="2:7" ht="18" customHeight="1" x14ac:dyDescent="0.25">
      <c r="B58" s="133"/>
      <c r="C58" s="133"/>
      <c r="D58" s="133"/>
      <c r="E58" s="133"/>
      <c r="F58" s="133"/>
      <c r="G58" s="133"/>
    </row>
    <row r="59" spans="2:7" ht="18" customHeight="1" x14ac:dyDescent="0.25">
      <c r="B59" s="133"/>
      <c r="C59" s="133"/>
      <c r="D59" s="133"/>
      <c r="E59" s="133"/>
      <c r="F59" s="133"/>
      <c r="G59" s="133"/>
    </row>
    <row r="60" spans="2:7" ht="18" customHeight="1" x14ac:dyDescent="0.25">
      <c r="B60" s="133"/>
      <c r="C60" s="133"/>
      <c r="D60" s="133"/>
      <c r="E60" s="133"/>
      <c r="F60" s="133"/>
      <c r="G60" s="133"/>
    </row>
    <row r="61" spans="2:7" ht="15.75" customHeight="1" x14ac:dyDescent="0.25">
      <c r="B61" s="110" t="s">
        <v>346</v>
      </c>
      <c r="C61" s="110"/>
      <c r="D61" s="110"/>
      <c r="E61" s="110"/>
      <c r="F61" s="110"/>
      <c r="G61" s="110"/>
    </row>
    <row r="62" spans="2:7" ht="18" customHeight="1" x14ac:dyDescent="0.25">
      <c r="B62" s="133" t="s">
        <v>347</v>
      </c>
      <c r="C62" s="133"/>
      <c r="D62" s="133"/>
      <c r="E62" s="133"/>
      <c r="F62" s="133"/>
      <c r="G62" s="133"/>
    </row>
    <row r="63" spans="2:7" ht="18" customHeight="1" x14ac:dyDescent="0.25">
      <c r="B63" s="133"/>
      <c r="C63" s="133"/>
      <c r="D63" s="133"/>
      <c r="E63" s="133"/>
      <c r="F63" s="133"/>
      <c r="G63" s="133"/>
    </row>
    <row r="64" spans="2:7" ht="18" customHeight="1" x14ac:dyDescent="0.25">
      <c r="B64" s="133"/>
      <c r="C64" s="133"/>
      <c r="D64" s="133"/>
      <c r="E64" s="133"/>
      <c r="F64" s="133"/>
      <c r="G64" s="133"/>
    </row>
    <row r="65" spans="2:7" ht="18" customHeight="1" x14ac:dyDescent="0.25">
      <c r="B65" s="133"/>
      <c r="C65" s="133"/>
      <c r="D65" s="133"/>
      <c r="E65" s="133"/>
      <c r="F65" s="133"/>
      <c r="G65" s="133"/>
    </row>
  </sheetData>
  <mergeCells count="31">
    <mergeCell ref="B56:G56"/>
    <mergeCell ref="B57:G60"/>
    <mergeCell ref="B61:G61"/>
    <mergeCell ref="B62:G65"/>
    <mergeCell ref="B45:G45"/>
    <mergeCell ref="B46:G46"/>
    <mergeCell ref="B47:G50"/>
    <mergeCell ref="B51:G51"/>
    <mergeCell ref="B52:G55"/>
    <mergeCell ref="B41:D41"/>
    <mergeCell ref="E41:F41"/>
    <mergeCell ref="B42:D42"/>
    <mergeCell ref="E42:F42"/>
    <mergeCell ref="B43:D43"/>
    <mergeCell ref="E43:F43"/>
    <mergeCell ref="B38:D38"/>
    <mergeCell ref="E38:F38"/>
    <mergeCell ref="B39:D39"/>
    <mergeCell ref="E39:F39"/>
    <mergeCell ref="B40:D40"/>
    <mergeCell ref="E40:F40"/>
    <mergeCell ref="B21:G21"/>
    <mergeCell ref="B22:G22"/>
    <mergeCell ref="B33:G33"/>
    <mergeCell ref="B34:G35"/>
    <mergeCell ref="B37:G37"/>
    <mergeCell ref="B1:G1"/>
    <mergeCell ref="B2:G2"/>
    <mergeCell ref="B4:G4"/>
    <mergeCell ref="B8:G8"/>
    <mergeCell ref="B19:C1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61"/>
  <sheetViews>
    <sheetView showGridLines="0" topLeftCell="A43" zoomScaleNormal="100" workbookViewId="0">
      <selection activeCell="I57" sqref="I57"/>
    </sheetView>
  </sheetViews>
  <sheetFormatPr defaultColWidth="8.7109375" defaultRowHeight="15" x14ac:dyDescent="0.25"/>
  <cols>
    <col min="1" max="1" width="3" customWidth="1"/>
    <col min="2" max="2" width="16" customWidth="1"/>
    <col min="3" max="3" width="20" customWidth="1"/>
    <col min="4" max="5" width="8" customWidth="1"/>
    <col min="6" max="6" width="30" customWidth="1"/>
    <col min="7" max="7" width="5" customWidth="1"/>
  </cols>
  <sheetData>
    <row r="1" spans="2:6" ht="31.5" customHeight="1" x14ac:dyDescent="0.25">
      <c r="B1" s="114" t="s">
        <v>348</v>
      </c>
      <c r="C1" s="114"/>
      <c r="D1" s="114"/>
      <c r="E1" s="114"/>
      <c r="F1" s="114"/>
    </row>
    <row r="2" spans="2:6" ht="18" customHeight="1" x14ac:dyDescent="0.25">
      <c r="B2" s="128" t="s">
        <v>349</v>
      </c>
      <c r="C2" s="128"/>
      <c r="D2" s="128"/>
      <c r="E2" s="128"/>
      <c r="F2" s="128"/>
    </row>
    <row r="3" spans="2:6" ht="9.75" customHeight="1" x14ac:dyDescent="0.25"/>
    <row r="4" spans="2:6" ht="15.75" customHeight="1" x14ac:dyDescent="0.25">
      <c r="B4" s="110" t="s">
        <v>350</v>
      </c>
      <c r="C4" s="110"/>
      <c r="D4" s="110"/>
      <c r="E4" s="110"/>
      <c r="F4" s="110"/>
    </row>
    <row r="5" spans="2:6" ht="19.5" customHeight="1" x14ac:dyDescent="0.25">
      <c r="B5" s="134" t="s">
        <v>351</v>
      </c>
      <c r="C5" s="134"/>
      <c r="D5" s="134"/>
      <c r="E5" s="134"/>
      <c r="F5" s="134"/>
    </row>
    <row r="6" spans="2:6" ht="19.5" customHeight="1" x14ac:dyDescent="0.25">
      <c r="B6" s="134"/>
      <c r="C6" s="134"/>
      <c r="D6" s="134"/>
      <c r="E6" s="134"/>
      <c r="F6" s="134"/>
    </row>
    <row r="7" spans="2:6" ht="9.75" customHeight="1" x14ac:dyDescent="0.25"/>
    <row r="8" spans="2:6" ht="15.75" customHeight="1" x14ac:dyDescent="0.25">
      <c r="B8" s="110" t="s">
        <v>352</v>
      </c>
      <c r="C8" s="110"/>
      <c r="D8" s="110"/>
      <c r="E8" s="110"/>
      <c r="F8" s="110"/>
    </row>
    <row r="9" spans="2:6" ht="18" customHeight="1" x14ac:dyDescent="0.25">
      <c r="B9" s="69" t="s">
        <v>353</v>
      </c>
      <c r="C9" s="69" t="s">
        <v>354</v>
      </c>
      <c r="D9" s="69" t="s">
        <v>355</v>
      </c>
      <c r="E9" s="69" t="s">
        <v>356</v>
      </c>
      <c r="F9" s="69" t="s">
        <v>357</v>
      </c>
    </row>
    <row r="10" spans="2:6" ht="36" customHeight="1" x14ac:dyDescent="0.25">
      <c r="B10" s="29" t="s">
        <v>358</v>
      </c>
      <c r="C10" s="70" t="s">
        <v>359</v>
      </c>
      <c r="D10" s="70" t="s">
        <v>18</v>
      </c>
      <c r="E10" s="70" t="s">
        <v>360</v>
      </c>
      <c r="F10" s="70" t="s">
        <v>361</v>
      </c>
    </row>
    <row r="11" spans="2:6" ht="36" customHeight="1" x14ac:dyDescent="0.25">
      <c r="B11" s="29" t="s">
        <v>362</v>
      </c>
      <c r="C11" s="70" t="s">
        <v>363</v>
      </c>
      <c r="D11" s="70" t="s">
        <v>19</v>
      </c>
      <c r="E11" s="70" t="s">
        <v>364</v>
      </c>
      <c r="F11" s="70" t="s">
        <v>365</v>
      </c>
    </row>
    <row r="12" spans="2:6" ht="36" customHeight="1" x14ac:dyDescent="0.25">
      <c r="B12" s="22" t="s">
        <v>366</v>
      </c>
      <c r="C12" s="71" t="s">
        <v>367</v>
      </c>
      <c r="D12" s="71" t="s">
        <v>19</v>
      </c>
      <c r="E12" s="71" t="s">
        <v>360</v>
      </c>
      <c r="F12" s="71" t="s">
        <v>368</v>
      </c>
    </row>
    <row r="13" spans="2:6" ht="9.75" customHeight="1" x14ac:dyDescent="0.25"/>
    <row r="14" spans="2:6" ht="15.75" customHeight="1" x14ac:dyDescent="0.25">
      <c r="B14" s="110" t="s">
        <v>369</v>
      </c>
      <c r="C14" s="110"/>
      <c r="D14" s="110"/>
      <c r="E14" s="110"/>
      <c r="F14" s="110"/>
    </row>
    <row r="15" spans="2:6" ht="21.75" customHeight="1" x14ac:dyDescent="0.25">
      <c r="B15" s="112" t="s">
        <v>370</v>
      </c>
      <c r="C15" s="112"/>
      <c r="D15" s="112"/>
      <c r="E15" s="112"/>
      <c r="F15" s="112"/>
    </row>
    <row r="16" spans="2:6" ht="15.75" customHeight="1" x14ac:dyDescent="0.25">
      <c r="B16" s="1" t="s">
        <v>46</v>
      </c>
      <c r="C16" s="112" t="s">
        <v>371</v>
      </c>
      <c r="D16" s="112"/>
      <c r="E16" s="112"/>
      <c r="F16" s="112"/>
    </row>
    <row r="17" spans="2:6" ht="18" customHeight="1" x14ac:dyDescent="0.25">
      <c r="B17" s="6" t="s">
        <v>47</v>
      </c>
      <c r="C17" s="123" t="s">
        <v>22</v>
      </c>
      <c r="D17" s="123"/>
      <c r="E17" s="123"/>
      <c r="F17" s="123"/>
    </row>
    <row r="18" spans="2:6" ht="18" customHeight="1" x14ac:dyDescent="0.25">
      <c r="B18" s="6" t="s">
        <v>372</v>
      </c>
      <c r="C18" s="123" t="s">
        <v>666</v>
      </c>
      <c r="D18" s="123"/>
      <c r="E18" s="123"/>
      <c r="F18" s="123"/>
    </row>
    <row r="19" spans="2:6" ht="15.75" customHeight="1" x14ac:dyDescent="0.25">
      <c r="B19" s="6" t="s">
        <v>373</v>
      </c>
      <c r="C19" s="123" t="s">
        <v>514</v>
      </c>
      <c r="D19" s="123"/>
      <c r="E19" s="123"/>
      <c r="F19" s="123"/>
    </row>
    <row r="20" spans="2:6" ht="15.75" customHeight="1" x14ac:dyDescent="0.25">
      <c r="B20" s="6" t="s">
        <v>374</v>
      </c>
      <c r="C20" s="123">
        <v>4</v>
      </c>
      <c r="D20" s="123"/>
      <c r="E20" s="123"/>
      <c r="F20" s="123"/>
    </row>
    <row r="21" spans="2:6" ht="15.75" customHeight="1" x14ac:dyDescent="0.25">
      <c r="B21" s="6" t="s">
        <v>375</v>
      </c>
      <c r="C21" s="123">
        <v>5</v>
      </c>
      <c r="D21" s="123"/>
      <c r="E21" s="123"/>
      <c r="F21" s="123"/>
    </row>
    <row r="22" spans="2:6" ht="18" customHeight="1" x14ac:dyDescent="0.25">
      <c r="B22" s="6" t="s">
        <v>376</v>
      </c>
      <c r="C22" s="123" t="s">
        <v>667</v>
      </c>
      <c r="D22" s="123"/>
      <c r="E22" s="123"/>
      <c r="F22" s="123"/>
    </row>
    <row r="23" spans="2:6" ht="18" customHeight="1" x14ac:dyDescent="0.25">
      <c r="B23" s="6" t="s">
        <v>377</v>
      </c>
      <c r="C23" s="123" t="s">
        <v>668</v>
      </c>
      <c r="D23" s="123"/>
      <c r="E23" s="123"/>
      <c r="F23" s="123"/>
    </row>
    <row r="24" spans="2:6" ht="36" customHeight="1" x14ac:dyDescent="0.25">
      <c r="B24" s="6" t="s">
        <v>378</v>
      </c>
      <c r="C24" s="123" t="s">
        <v>669</v>
      </c>
      <c r="D24" s="123"/>
      <c r="E24" s="123"/>
      <c r="F24" s="123"/>
    </row>
    <row r="25" spans="2:6" ht="7.5" customHeight="1" x14ac:dyDescent="0.25"/>
    <row r="27" spans="2:6" ht="21.75" customHeight="1" x14ac:dyDescent="0.25">
      <c r="B27" s="112" t="s">
        <v>379</v>
      </c>
      <c r="C27" s="112"/>
      <c r="D27" s="112"/>
      <c r="E27" s="112"/>
      <c r="F27" s="112"/>
    </row>
    <row r="28" spans="2:6" ht="15.75" customHeight="1" x14ac:dyDescent="0.25">
      <c r="B28" s="1" t="s">
        <v>46</v>
      </c>
      <c r="C28" s="112" t="s">
        <v>371</v>
      </c>
      <c r="D28" s="112"/>
      <c r="E28" s="112"/>
      <c r="F28" s="112"/>
    </row>
    <row r="29" spans="2:6" ht="18" customHeight="1" x14ac:dyDescent="0.25">
      <c r="B29" s="6" t="s">
        <v>47</v>
      </c>
      <c r="C29" s="123" t="s">
        <v>22</v>
      </c>
      <c r="D29" s="123"/>
      <c r="E29" s="123"/>
      <c r="F29" s="123"/>
    </row>
    <row r="30" spans="2:6" ht="18" customHeight="1" x14ac:dyDescent="0.25">
      <c r="B30" s="6" t="s">
        <v>372</v>
      </c>
      <c r="C30" s="123" t="s">
        <v>670</v>
      </c>
      <c r="D30" s="123"/>
      <c r="E30" s="123"/>
      <c r="F30" s="123"/>
    </row>
    <row r="31" spans="2:6" ht="15.75" customHeight="1" x14ac:dyDescent="0.25">
      <c r="B31" s="6" t="s">
        <v>373</v>
      </c>
      <c r="C31" s="123" t="s">
        <v>526</v>
      </c>
      <c r="D31" s="123"/>
      <c r="E31" s="123"/>
      <c r="F31" s="123"/>
    </row>
    <row r="32" spans="2:6" ht="15.75" customHeight="1" x14ac:dyDescent="0.25">
      <c r="B32" s="6" t="s">
        <v>374</v>
      </c>
      <c r="C32" s="123">
        <v>4</v>
      </c>
      <c r="D32" s="123"/>
      <c r="E32" s="123"/>
      <c r="F32" s="123"/>
    </row>
    <row r="33" spans="2:6" ht="15.75" customHeight="1" x14ac:dyDescent="0.25">
      <c r="B33" s="6" t="s">
        <v>375</v>
      </c>
      <c r="C33" s="123">
        <v>5</v>
      </c>
      <c r="D33" s="123"/>
      <c r="E33" s="123"/>
      <c r="F33" s="123"/>
    </row>
    <row r="34" spans="2:6" ht="18" customHeight="1" x14ac:dyDescent="0.25">
      <c r="B34" s="6" t="s">
        <v>376</v>
      </c>
      <c r="C34" s="123" t="s">
        <v>671</v>
      </c>
      <c r="D34" s="123"/>
      <c r="E34" s="123"/>
      <c r="F34" s="123"/>
    </row>
    <row r="35" spans="2:6" ht="18" customHeight="1" x14ac:dyDescent="0.25">
      <c r="B35" s="6" t="s">
        <v>377</v>
      </c>
      <c r="C35" s="123" t="s">
        <v>672</v>
      </c>
      <c r="D35" s="123"/>
      <c r="E35" s="123"/>
      <c r="F35" s="123"/>
    </row>
    <row r="36" spans="2:6" ht="36" customHeight="1" x14ac:dyDescent="0.25">
      <c r="B36" s="6" t="s">
        <v>378</v>
      </c>
      <c r="C36" s="123" t="s">
        <v>673</v>
      </c>
      <c r="D36" s="123"/>
      <c r="E36" s="123"/>
      <c r="F36" s="123"/>
    </row>
    <row r="37" spans="2:6" ht="7.5" customHeight="1" x14ac:dyDescent="0.25"/>
    <row r="39" spans="2:6" ht="21.75" customHeight="1" x14ac:dyDescent="0.25">
      <c r="B39" s="127" t="s">
        <v>380</v>
      </c>
      <c r="C39" s="127"/>
      <c r="D39" s="127"/>
      <c r="E39" s="127"/>
      <c r="F39" s="127"/>
    </row>
    <row r="40" spans="2:6" ht="15.75" customHeight="1" x14ac:dyDescent="0.25">
      <c r="B40" s="4" t="s">
        <v>46</v>
      </c>
      <c r="C40" s="127" t="s">
        <v>371</v>
      </c>
      <c r="D40" s="127"/>
      <c r="E40" s="127"/>
      <c r="F40" s="127"/>
    </row>
    <row r="41" spans="2:6" ht="18" customHeight="1" x14ac:dyDescent="0.25">
      <c r="B41" s="6" t="s">
        <v>47</v>
      </c>
      <c r="C41" s="123" t="s">
        <v>23</v>
      </c>
      <c r="D41" s="123"/>
      <c r="E41" s="123"/>
      <c r="F41" s="123"/>
    </row>
    <row r="42" spans="2:6" ht="18" customHeight="1" x14ac:dyDescent="0.25">
      <c r="B42" s="6" t="s">
        <v>372</v>
      </c>
      <c r="C42" s="123" t="s">
        <v>674</v>
      </c>
      <c r="D42" s="123"/>
      <c r="E42" s="123"/>
      <c r="F42" s="123"/>
    </row>
    <row r="43" spans="2:6" ht="15.75" customHeight="1" x14ac:dyDescent="0.25">
      <c r="B43" s="6" t="s">
        <v>373</v>
      </c>
      <c r="C43" s="123" t="s">
        <v>540</v>
      </c>
      <c r="D43" s="123"/>
      <c r="E43" s="123"/>
      <c r="F43" s="123"/>
    </row>
    <row r="44" spans="2:6" ht="15.75" customHeight="1" x14ac:dyDescent="0.25">
      <c r="B44" s="6" t="s">
        <v>374</v>
      </c>
      <c r="C44" s="123">
        <v>3.35</v>
      </c>
      <c r="D44" s="123"/>
      <c r="E44" s="123"/>
      <c r="F44" s="123"/>
    </row>
    <row r="45" spans="2:6" ht="15.75" customHeight="1" x14ac:dyDescent="0.25">
      <c r="B45" s="6" t="s">
        <v>375</v>
      </c>
      <c r="C45" s="123">
        <v>5</v>
      </c>
      <c r="D45" s="123"/>
      <c r="E45" s="123"/>
      <c r="F45" s="123"/>
    </row>
    <row r="46" spans="2:6" ht="18" customHeight="1" x14ac:dyDescent="0.25">
      <c r="B46" s="6" t="s">
        <v>376</v>
      </c>
      <c r="C46" s="123" t="s">
        <v>675</v>
      </c>
      <c r="D46" s="123"/>
      <c r="E46" s="123"/>
      <c r="F46" s="123"/>
    </row>
    <row r="47" spans="2:6" ht="18" customHeight="1" x14ac:dyDescent="0.25">
      <c r="B47" s="6" t="s">
        <v>377</v>
      </c>
      <c r="C47" s="123" t="s">
        <v>676</v>
      </c>
      <c r="D47" s="123"/>
      <c r="E47" s="123"/>
      <c r="F47" s="123"/>
    </row>
    <row r="48" spans="2:6" ht="36" customHeight="1" x14ac:dyDescent="0.25">
      <c r="B48" s="6" t="s">
        <v>378</v>
      </c>
      <c r="C48" s="123" t="s">
        <v>677</v>
      </c>
      <c r="D48" s="123"/>
      <c r="E48" s="123"/>
      <c r="F48" s="123"/>
    </row>
    <row r="49" spans="2:6" ht="7.5" customHeight="1" x14ac:dyDescent="0.25"/>
    <row r="51" spans="2:6" ht="21.75" customHeight="1" x14ac:dyDescent="0.25">
      <c r="B51" s="127" t="s">
        <v>381</v>
      </c>
      <c r="C51" s="127"/>
      <c r="D51" s="127"/>
      <c r="E51" s="127"/>
      <c r="F51" s="127"/>
    </row>
    <row r="52" spans="2:6" ht="15.75" customHeight="1" x14ac:dyDescent="0.25">
      <c r="B52" s="4" t="s">
        <v>46</v>
      </c>
      <c r="C52" s="127" t="s">
        <v>371</v>
      </c>
      <c r="D52" s="127"/>
      <c r="E52" s="127"/>
      <c r="F52" s="127"/>
    </row>
    <row r="53" spans="2:6" ht="18" customHeight="1" x14ac:dyDescent="0.25">
      <c r="B53" s="6" t="s">
        <v>47</v>
      </c>
      <c r="C53" s="123" t="s">
        <v>23</v>
      </c>
      <c r="D53" s="123"/>
      <c r="E53" s="123"/>
      <c r="F53" s="123"/>
    </row>
    <row r="54" spans="2:6" ht="18" customHeight="1" x14ac:dyDescent="0.25">
      <c r="B54" s="6" t="s">
        <v>372</v>
      </c>
      <c r="C54" s="123" t="s">
        <v>678</v>
      </c>
      <c r="D54" s="123"/>
      <c r="E54" s="123"/>
      <c r="F54" s="123"/>
    </row>
    <row r="55" spans="2:6" ht="15.75" customHeight="1" x14ac:dyDescent="0.25">
      <c r="B55" s="6" t="s">
        <v>373</v>
      </c>
      <c r="C55" s="123" t="s">
        <v>364</v>
      </c>
      <c r="D55" s="123"/>
      <c r="E55" s="123"/>
      <c r="F55" s="123"/>
    </row>
    <row r="56" spans="2:6" ht="15.75" customHeight="1" x14ac:dyDescent="0.25">
      <c r="B56" s="6" t="s">
        <v>374</v>
      </c>
      <c r="C56" s="123">
        <v>3.35</v>
      </c>
      <c r="D56" s="123"/>
      <c r="E56" s="123"/>
      <c r="F56" s="123"/>
    </row>
    <row r="57" spans="2:6" ht="15.75" customHeight="1" x14ac:dyDescent="0.25">
      <c r="B57" s="6" t="s">
        <v>375</v>
      </c>
      <c r="C57" s="123">
        <v>5</v>
      </c>
      <c r="D57" s="123"/>
      <c r="E57" s="123"/>
      <c r="F57" s="123"/>
    </row>
    <row r="58" spans="2:6" ht="18" customHeight="1" x14ac:dyDescent="0.25">
      <c r="B58" s="6" t="s">
        <v>376</v>
      </c>
      <c r="C58" s="123" t="s">
        <v>679</v>
      </c>
      <c r="D58" s="123"/>
      <c r="E58" s="123"/>
      <c r="F58" s="123"/>
    </row>
    <row r="59" spans="2:6" ht="18" customHeight="1" x14ac:dyDescent="0.25">
      <c r="B59" s="6" t="s">
        <v>377</v>
      </c>
      <c r="C59" s="123" t="s">
        <v>680</v>
      </c>
      <c r="D59" s="123"/>
      <c r="E59" s="123"/>
      <c r="F59" s="123"/>
    </row>
    <row r="60" spans="2:6" ht="36" customHeight="1" x14ac:dyDescent="0.25">
      <c r="B60" s="6" t="s">
        <v>378</v>
      </c>
      <c r="C60" s="123" t="s">
        <v>681</v>
      </c>
      <c r="D60" s="123"/>
      <c r="E60" s="123"/>
      <c r="F60" s="123"/>
    </row>
    <row r="61" spans="2:6" ht="7.5" customHeight="1" x14ac:dyDescent="0.25"/>
  </sheetData>
  <mergeCells count="46">
    <mergeCell ref="C60:F60"/>
    <mergeCell ref="C55:F55"/>
    <mergeCell ref="C56:F56"/>
    <mergeCell ref="C57:F57"/>
    <mergeCell ref="C58:F58"/>
    <mergeCell ref="C59:F59"/>
    <mergeCell ref="C48:F48"/>
    <mergeCell ref="B51:F51"/>
    <mergeCell ref="C52:F52"/>
    <mergeCell ref="C53:F53"/>
    <mergeCell ref="C54:F54"/>
    <mergeCell ref="C43:F43"/>
    <mergeCell ref="C44:F44"/>
    <mergeCell ref="C45:F45"/>
    <mergeCell ref="C46:F46"/>
    <mergeCell ref="C47:F47"/>
    <mergeCell ref="C36:F36"/>
    <mergeCell ref="B39:F39"/>
    <mergeCell ref="C40:F40"/>
    <mergeCell ref="C41:F41"/>
    <mergeCell ref="C42:F42"/>
    <mergeCell ref="C31:F31"/>
    <mergeCell ref="C32:F32"/>
    <mergeCell ref="C33:F33"/>
    <mergeCell ref="C34:F34"/>
    <mergeCell ref="C35:F35"/>
    <mergeCell ref="C24:F24"/>
    <mergeCell ref="B27:F27"/>
    <mergeCell ref="C28:F28"/>
    <mergeCell ref="C29:F29"/>
    <mergeCell ref="C30:F30"/>
    <mergeCell ref="C19:F19"/>
    <mergeCell ref="C20:F20"/>
    <mergeCell ref="C21:F21"/>
    <mergeCell ref="C22:F22"/>
    <mergeCell ref="C23:F23"/>
    <mergeCell ref="B14:F14"/>
    <mergeCell ref="B15:F15"/>
    <mergeCell ref="C16:F16"/>
    <mergeCell ref="C17:F17"/>
    <mergeCell ref="C18:F18"/>
    <mergeCell ref="B1:F1"/>
    <mergeCell ref="B2:F2"/>
    <mergeCell ref="B4:F4"/>
    <mergeCell ref="B5:F6"/>
    <mergeCell ref="B8:F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1"/>
  <sheetViews>
    <sheetView showGridLines="0" zoomScaleNormal="100" workbookViewId="0"/>
  </sheetViews>
  <sheetFormatPr defaultColWidth="8.7109375" defaultRowHeight="15" x14ac:dyDescent="0.25"/>
  <cols>
    <col min="1" max="1" width="3" customWidth="1"/>
    <col min="2" max="2" width="8" customWidth="1"/>
    <col min="3" max="3" width="30" customWidth="1"/>
    <col min="4" max="4" width="36" customWidth="1"/>
    <col min="5" max="5" width="14" customWidth="1"/>
    <col min="6" max="6" width="5" customWidth="1"/>
  </cols>
  <sheetData>
    <row r="1" spans="2:5" ht="31.5" customHeight="1" x14ac:dyDescent="0.25">
      <c r="B1" s="114" t="s">
        <v>382</v>
      </c>
      <c r="C1" s="114"/>
      <c r="D1" s="114"/>
      <c r="E1" s="114"/>
    </row>
    <row r="2" spans="2:5" ht="18" customHeight="1" x14ac:dyDescent="0.25">
      <c r="B2" s="115" t="s">
        <v>383</v>
      </c>
      <c r="C2" s="115"/>
      <c r="D2" s="115"/>
      <c r="E2" s="115"/>
    </row>
    <row r="3" spans="2:5" ht="9.75" customHeight="1" x14ac:dyDescent="0.25"/>
    <row r="4" spans="2:5" ht="19.5" customHeight="1" x14ac:dyDescent="0.25">
      <c r="B4" s="20" t="s">
        <v>384</v>
      </c>
      <c r="C4" s="20" t="s">
        <v>385</v>
      </c>
      <c r="D4" s="20" t="s">
        <v>386</v>
      </c>
      <c r="E4" s="20" t="s">
        <v>387</v>
      </c>
    </row>
    <row r="5" spans="2:5" ht="36" customHeight="1" x14ac:dyDescent="0.25">
      <c r="B5" s="23" t="s">
        <v>58</v>
      </c>
      <c r="C5" s="23" t="s">
        <v>388</v>
      </c>
      <c r="D5" s="24" t="s">
        <v>389</v>
      </c>
      <c r="E5" s="24" t="s">
        <v>390</v>
      </c>
    </row>
    <row r="6" spans="2:5" ht="36" customHeight="1" x14ac:dyDescent="0.25">
      <c r="B6" s="33" t="s">
        <v>61</v>
      </c>
      <c r="C6" s="33" t="s">
        <v>391</v>
      </c>
      <c r="D6" s="2" t="s">
        <v>392</v>
      </c>
      <c r="E6" s="2" t="s">
        <v>393</v>
      </c>
    </row>
    <row r="7" spans="2:5" ht="36" customHeight="1" x14ac:dyDescent="0.25">
      <c r="B7" s="31" t="s">
        <v>63</v>
      </c>
      <c r="C7" s="31" t="s">
        <v>394</v>
      </c>
      <c r="D7" s="3" t="s">
        <v>395</v>
      </c>
      <c r="E7" s="3" t="s">
        <v>396</v>
      </c>
    </row>
    <row r="8" spans="2:5" ht="36" customHeight="1" x14ac:dyDescent="0.25">
      <c r="B8" s="33" t="s">
        <v>65</v>
      </c>
      <c r="C8" s="33" t="s">
        <v>397</v>
      </c>
      <c r="D8" s="2" t="s">
        <v>398</v>
      </c>
      <c r="E8" s="2" t="s">
        <v>399</v>
      </c>
    </row>
    <row r="9" spans="2:5" ht="36" customHeight="1" x14ac:dyDescent="0.25">
      <c r="B9" s="31" t="s">
        <v>68</v>
      </c>
      <c r="C9" s="31" t="s">
        <v>400</v>
      </c>
      <c r="D9" s="3" t="s">
        <v>401</v>
      </c>
      <c r="E9" s="3" t="s">
        <v>402</v>
      </c>
    </row>
    <row r="10" spans="2:5" ht="36" customHeight="1" x14ac:dyDescent="0.25">
      <c r="B10" s="33" t="s">
        <v>70</v>
      </c>
      <c r="C10" s="33" t="s">
        <v>328</v>
      </c>
      <c r="D10" s="2" t="s">
        <v>403</v>
      </c>
      <c r="E10" s="2" t="s">
        <v>404</v>
      </c>
    </row>
    <row r="11" spans="2:5" ht="36" customHeight="1" x14ac:dyDescent="0.25">
      <c r="B11" s="23" t="s">
        <v>405</v>
      </c>
      <c r="C11" s="23" t="s">
        <v>333</v>
      </c>
      <c r="D11" s="24" t="s">
        <v>406</v>
      </c>
      <c r="E11" s="24" t="s">
        <v>402</v>
      </c>
    </row>
    <row r="12" spans="2:5" ht="9.75" customHeight="1" x14ac:dyDescent="0.25"/>
    <row r="13" spans="2:5" ht="15.75" customHeight="1" x14ac:dyDescent="0.25">
      <c r="B13" s="110" t="s">
        <v>407</v>
      </c>
      <c r="C13" s="110"/>
      <c r="D13" s="110"/>
      <c r="E13" s="110"/>
    </row>
    <row r="14" spans="2:5" ht="18" customHeight="1" x14ac:dyDescent="0.25">
      <c r="B14" s="69" t="s">
        <v>408</v>
      </c>
      <c r="C14" s="69" t="s">
        <v>409</v>
      </c>
      <c r="D14" s="69" t="s">
        <v>410</v>
      </c>
      <c r="E14" s="69"/>
    </row>
    <row r="15" spans="2:5" ht="27.75" customHeight="1" x14ac:dyDescent="0.25">
      <c r="B15" s="72" t="s">
        <v>411</v>
      </c>
      <c r="C15" s="3" t="s">
        <v>412</v>
      </c>
      <c r="D15" s="135" t="s">
        <v>413</v>
      </c>
      <c r="E15" s="135"/>
    </row>
    <row r="16" spans="2:5" ht="27.75" customHeight="1" x14ac:dyDescent="0.25">
      <c r="B16" s="72" t="s">
        <v>414</v>
      </c>
      <c r="C16" s="2" t="s">
        <v>415</v>
      </c>
      <c r="D16" s="135" t="s">
        <v>416</v>
      </c>
      <c r="E16" s="135"/>
    </row>
    <row r="17" spans="2:5" ht="27.75" customHeight="1" x14ac:dyDescent="0.25">
      <c r="B17" s="72" t="s">
        <v>417</v>
      </c>
      <c r="C17" s="3" t="s">
        <v>418</v>
      </c>
      <c r="D17" s="135" t="s">
        <v>419</v>
      </c>
      <c r="E17" s="135"/>
    </row>
    <row r="18" spans="2:5" ht="27.75" customHeight="1" x14ac:dyDescent="0.25">
      <c r="B18" s="72" t="s">
        <v>420</v>
      </c>
      <c r="C18" s="2" t="s">
        <v>421</v>
      </c>
      <c r="D18" s="135" t="s">
        <v>422</v>
      </c>
      <c r="E18" s="135"/>
    </row>
    <row r="19" spans="2:5" ht="27.75" customHeight="1" x14ac:dyDescent="0.25">
      <c r="B19" s="72" t="s">
        <v>423</v>
      </c>
      <c r="C19" s="3" t="s">
        <v>424</v>
      </c>
      <c r="D19" s="135" t="s">
        <v>425</v>
      </c>
      <c r="E19" s="135"/>
    </row>
    <row r="20" spans="2:5" ht="27.75" customHeight="1" x14ac:dyDescent="0.25">
      <c r="B20" s="72" t="s">
        <v>426</v>
      </c>
      <c r="C20" s="2" t="s">
        <v>427</v>
      </c>
      <c r="D20" s="135" t="s">
        <v>428</v>
      </c>
      <c r="E20" s="135"/>
    </row>
    <row r="21" spans="2:5" ht="27.75" customHeight="1" x14ac:dyDescent="0.25">
      <c r="B21" s="72" t="s">
        <v>429</v>
      </c>
      <c r="C21" s="3" t="s">
        <v>430</v>
      </c>
      <c r="D21" s="135" t="s">
        <v>431</v>
      </c>
      <c r="E21" s="135"/>
    </row>
  </sheetData>
  <mergeCells count="10">
    <mergeCell ref="D17:E17"/>
    <mergeCell ref="D18:E18"/>
    <mergeCell ref="D19:E19"/>
    <mergeCell ref="D20:E20"/>
    <mergeCell ref="D21:E21"/>
    <mergeCell ref="B1:E1"/>
    <mergeCell ref="B2:E2"/>
    <mergeCell ref="B13:E13"/>
    <mergeCell ref="D15:E15"/>
    <mergeCell ref="D16:E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36"/>
  <sheetViews>
    <sheetView showGridLines="0" tabSelected="1" zoomScaleNormal="100" workbookViewId="0"/>
  </sheetViews>
  <sheetFormatPr defaultColWidth="8.7109375" defaultRowHeight="15" x14ac:dyDescent="0.25"/>
  <cols>
    <col min="1" max="1" width="3" customWidth="1"/>
    <col min="2" max="2" width="22" customWidth="1"/>
    <col min="3" max="3" width="8" customWidth="1"/>
    <col min="4" max="7" width="20" customWidth="1"/>
    <col min="8" max="8" width="5" customWidth="1"/>
  </cols>
  <sheetData>
    <row r="1" spans="2:7" ht="31.5" customHeight="1" x14ac:dyDescent="0.25">
      <c r="B1" s="114" t="s">
        <v>432</v>
      </c>
      <c r="C1" s="114"/>
      <c r="D1" s="114"/>
      <c r="E1" s="114"/>
      <c r="F1" s="114"/>
      <c r="G1" s="114"/>
    </row>
    <row r="2" spans="2:7" ht="18" customHeight="1" x14ac:dyDescent="0.25">
      <c r="B2" s="115" t="s">
        <v>433</v>
      </c>
      <c r="C2" s="115"/>
      <c r="D2" s="115"/>
      <c r="E2" s="115"/>
      <c r="F2" s="115"/>
      <c r="G2" s="115"/>
    </row>
    <row r="3" spans="2:7" ht="9.75" customHeight="1" x14ac:dyDescent="0.25"/>
    <row r="4" spans="2:7" ht="15.75" customHeight="1" x14ac:dyDescent="0.25">
      <c r="B4" s="110" t="s">
        <v>434</v>
      </c>
      <c r="C4" s="110"/>
      <c r="D4" s="110"/>
      <c r="E4" s="110"/>
      <c r="F4" s="110"/>
      <c r="G4" s="110"/>
    </row>
    <row r="5" spans="2:7" ht="24" customHeight="1" x14ac:dyDescent="0.25">
      <c r="B5" s="20" t="s">
        <v>435</v>
      </c>
      <c r="C5" s="20" t="s">
        <v>436</v>
      </c>
      <c r="D5" s="20" t="s">
        <v>257</v>
      </c>
      <c r="E5" s="20" t="s">
        <v>437</v>
      </c>
      <c r="F5" s="20" t="s">
        <v>438</v>
      </c>
      <c r="G5" s="20" t="s">
        <v>439</v>
      </c>
    </row>
    <row r="6" spans="2:7" ht="48" customHeight="1" x14ac:dyDescent="0.25">
      <c r="B6" s="23" t="s">
        <v>440</v>
      </c>
      <c r="C6" s="23">
        <v>3</v>
      </c>
      <c r="D6" s="23" t="s">
        <v>441</v>
      </c>
      <c r="E6" s="21" t="s">
        <v>442</v>
      </c>
      <c r="F6" s="26" t="s">
        <v>443</v>
      </c>
      <c r="G6" s="30" t="s">
        <v>444</v>
      </c>
    </row>
    <row r="7" spans="2:7" ht="48" customHeight="1" x14ac:dyDescent="0.25">
      <c r="B7" s="22" t="s">
        <v>445</v>
      </c>
      <c r="C7" s="22">
        <v>3</v>
      </c>
      <c r="D7" s="22" t="s">
        <v>441</v>
      </c>
      <c r="E7" s="21" t="s">
        <v>446</v>
      </c>
      <c r="F7" s="26" t="s">
        <v>447</v>
      </c>
      <c r="G7" s="30" t="s">
        <v>448</v>
      </c>
    </row>
    <row r="8" spans="2:7" ht="48" customHeight="1" x14ac:dyDescent="0.25">
      <c r="B8" s="25" t="s">
        <v>449</v>
      </c>
      <c r="C8" s="25">
        <v>2</v>
      </c>
      <c r="D8" s="25" t="s">
        <v>450</v>
      </c>
      <c r="E8" s="21" t="s">
        <v>451</v>
      </c>
      <c r="F8" s="26" t="s">
        <v>452</v>
      </c>
      <c r="G8" s="30" t="s">
        <v>453</v>
      </c>
    </row>
    <row r="9" spans="2:7" ht="48" customHeight="1" x14ac:dyDescent="0.25">
      <c r="B9" s="73" t="s">
        <v>454</v>
      </c>
      <c r="C9" s="73">
        <v>3</v>
      </c>
      <c r="D9" s="73" t="s">
        <v>441</v>
      </c>
      <c r="E9" s="21" t="s">
        <v>455</v>
      </c>
      <c r="F9" s="26" t="s">
        <v>456</v>
      </c>
      <c r="G9" s="30" t="s">
        <v>457</v>
      </c>
    </row>
    <row r="10" spans="2:7" ht="48" customHeight="1" x14ac:dyDescent="0.25">
      <c r="B10" s="31" t="s">
        <v>458</v>
      </c>
      <c r="C10" s="31">
        <v>2</v>
      </c>
      <c r="D10" s="31" t="s">
        <v>450</v>
      </c>
      <c r="E10" s="21" t="s">
        <v>459</v>
      </c>
      <c r="F10" s="26" t="s">
        <v>460</v>
      </c>
      <c r="G10" s="30" t="s">
        <v>461</v>
      </c>
    </row>
    <row r="11" spans="2:7" ht="48" customHeight="1" x14ac:dyDescent="0.25">
      <c r="B11" s="33" t="s">
        <v>462</v>
      </c>
      <c r="C11" s="33">
        <v>1</v>
      </c>
      <c r="D11" s="33" t="s">
        <v>463</v>
      </c>
      <c r="E11" s="21" t="s">
        <v>464</v>
      </c>
      <c r="F11" s="26" t="s">
        <v>465</v>
      </c>
      <c r="G11" s="30" t="s">
        <v>466</v>
      </c>
    </row>
    <row r="12" spans="2:7" ht="48" customHeight="1" x14ac:dyDescent="0.25">
      <c r="B12" s="23" t="s">
        <v>467</v>
      </c>
      <c r="C12" s="23">
        <v>1</v>
      </c>
      <c r="D12" s="23" t="s">
        <v>463</v>
      </c>
      <c r="E12" s="21" t="s">
        <v>468</v>
      </c>
      <c r="F12" s="26" t="s">
        <v>469</v>
      </c>
      <c r="G12" s="30" t="s">
        <v>470</v>
      </c>
    </row>
    <row r="13" spans="2:7" ht="24" customHeight="1" x14ac:dyDescent="0.25">
      <c r="B13" s="136" t="s">
        <v>471</v>
      </c>
      <c r="C13" s="136"/>
      <c r="D13" s="136"/>
      <c r="E13" s="74">
        <f>SUM(C6:C12)</f>
        <v>15</v>
      </c>
      <c r="F13" s="136" t="s">
        <v>472</v>
      </c>
      <c r="G13" s="136"/>
    </row>
    <row r="14" spans="2:7" ht="9.75" customHeight="1" x14ac:dyDescent="0.25"/>
    <row r="15" spans="2:7" ht="15.75" customHeight="1" x14ac:dyDescent="0.25">
      <c r="B15" s="110" t="s">
        <v>473</v>
      </c>
      <c r="C15" s="110"/>
      <c r="D15" s="110"/>
      <c r="E15" s="110"/>
      <c r="F15" s="110"/>
      <c r="G15" s="110"/>
    </row>
    <row r="16" spans="2:7" ht="18" customHeight="1" x14ac:dyDescent="0.25">
      <c r="B16" s="20" t="s">
        <v>436</v>
      </c>
      <c r="C16" s="20" t="s">
        <v>474</v>
      </c>
      <c r="D16" s="20" t="s">
        <v>475</v>
      </c>
      <c r="E16" s="20"/>
      <c r="F16" s="20"/>
      <c r="G16" s="20"/>
    </row>
    <row r="17" spans="2:7" ht="24" customHeight="1" x14ac:dyDescent="0.25">
      <c r="B17" s="75" t="s">
        <v>476</v>
      </c>
      <c r="C17" s="22" t="s">
        <v>477</v>
      </c>
      <c r="D17" s="137" t="s">
        <v>478</v>
      </c>
      <c r="E17" s="137"/>
      <c r="F17" s="137"/>
      <c r="G17" s="137"/>
    </row>
    <row r="18" spans="2:7" ht="24" customHeight="1" x14ac:dyDescent="0.25">
      <c r="B18" s="76" t="s">
        <v>479</v>
      </c>
      <c r="C18" s="23" t="s">
        <v>480</v>
      </c>
      <c r="D18" s="138" t="s">
        <v>481</v>
      </c>
      <c r="E18" s="138"/>
      <c r="F18" s="138"/>
      <c r="G18" s="138"/>
    </row>
    <row r="19" spans="2:7" ht="24" customHeight="1" x14ac:dyDescent="0.25">
      <c r="B19" s="77" t="s">
        <v>482</v>
      </c>
      <c r="C19" s="25" t="s">
        <v>483</v>
      </c>
      <c r="D19" s="139" t="s">
        <v>484</v>
      </c>
      <c r="E19" s="139"/>
      <c r="F19" s="139"/>
      <c r="G19" s="139"/>
    </row>
    <row r="20" spans="2:7" ht="24" customHeight="1" x14ac:dyDescent="0.25">
      <c r="B20" s="78" t="s">
        <v>485</v>
      </c>
      <c r="C20" s="27" t="s">
        <v>486</v>
      </c>
      <c r="D20" s="140" t="s">
        <v>487</v>
      </c>
      <c r="E20" s="140"/>
      <c r="F20" s="140"/>
      <c r="G20" s="140"/>
    </row>
    <row r="21" spans="2:7" ht="24" customHeight="1" x14ac:dyDescent="0.25">
      <c r="B21" s="79" t="s">
        <v>488</v>
      </c>
      <c r="C21" s="29" t="s">
        <v>489</v>
      </c>
      <c r="D21" s="141" t="s">
        <v>490</v>
      </c>
      <c r="E21" s="141"/>
      <c r="F21" s="141"/>
      <c r="G21" s="141"/>
    </row>
    <row r="22" spans="2:7" ht="9.75" customHeight="1" x14ac:dyDescent="0.25"/>
    <row r="23" spans="2:7" ht="15.75" customHeight="1" x14ac:dyDescent="0.25">
      <c r="B23" s="110" t="s">
        <v>491</v>
      </c>
      <c r="C23" s="110"/>
      <c r="D23" s="110"/>
      <c r="E23" s="110"/>
      <c r="F23" s="110"/>
      <c r="G23" s="110"/>
    </row>
    <row r="24" spans="2:7" ht="18" customHeight="1" x14ac:dyDescent="0.25">
      <c r="B24" s="20" t="s">
        <v>54</v>
      </c>
      <c r="C24" s="142" t="s">
        <v>190</v>
      </c>
      <c r="D24" s="142"/>
      <c r="E24" s="20"/>
      <c r="F24" s="20" t="s">
        <v>492</v>
      </c>
      <c r="G24" s="20" t="s">
        <v>436</v>
      </c>
    </row>
    <row r="25" spans="2:7" ht="19.5" customHeight="1" x14ac:dyDescent="0.25">
      <c r="B25" s="51" t="s">
        <v>58</v>
      </c>
      <c r="C25" s="126" t="s">
        <v>493</v>
      </c>
      <c r="D25" s="126"/>
      <c r="E25" s="126"/>
      <c r="F25" s="52"/>
      <c r="G25" s="52"/>
    </row>
    <row r="26" spans="2:7" ht="19.5" customHeight="1" x14ac:dyDescent="0.25">
      <c r="B26" s="54" t="s">
        <v>61</v>
      </c>
      <c r="C26" s="125" t="s">
        <v>494</v>
      </c>
      <c r="D26" s="125"/>
      <c r="E26" s="125"/>
      <c r="F26" s="52"/>
      <c r="G26" s="52"/>
    </row>
    <row r="27" spans="2:7" ht="19.5" customHeight="1" x14ac:dyDescent="0.25">
      <c r="B27" s="51" t="s">
        <v>63</v>
      </c>
      <c r="C27" s="126" t="s">
        <v>495</v>
      </c>
      <c r="D27" s="126"/>
      <c r="E27" s="126"/>
      <c r="F27" s="52"/>
      <c r="G27" s="52"/>
    </row>
    <row r="28" spans="2:7" ht="19.5" customHeight="1" x14ac:dyDescent="0.25">
      <c r="B28" s="54" t="s">
        <v>65</v>
      </c>
      <c r="C28" s="125" t="s">
        <v>496</v>
      </c>
      <c r="D28" s="125"/>
      <c r="E28" s="125"/>
      <c r="F28" s="52"/>
      <c r="G28" s="52"/>
    </row>
    <row r="29" spans="2:7" ht="19.5" customHeight="1" x14ac:dyDescent="0.25">
      <c r="B29" s="51" t="s">
        <v>68</v>
      </c>
      <c r="C29" s="126" t="s">
        <v>497</v>
      </c>
      <c r="D29" s="126"/>
      <c r="E29" s="126"/>
      <c r="F29" s="52"/>
      <c r="G29" s="52"/>
    </row>
    <row r="30" spans="2:7" ht="19.5" customHeight="1" x14ac:dyDescent="0.25">
      <c r="B30" s="54" t="s">
        <v>70</v>
      </c>
      <c r="C30" s="125" t="s">
        <v>498</v>
      </c>
      <c r="D30" s="125"/>
      <c r="E30" s="125"/>
      <c r="F30" s="52"/>
      <c r="G30" s="52"/>
    </row>
    <row r="31" spans="2:7" ht="19.5" customHeight="1" x14ac:dyDescent="0.25">
      <c r="B31" s="51" t="s">
        <v>405</v>
      </c>
      <c r="C31" s="126" t="s">
        <v>499</v>
      </c>
      <c r="D31" s="126"/>
      <c r="E31" s="126"/>
      <c r="F31" s="52"/>
      <c r="G31" s="52"/>
    </row>
    <row r="32" spans="2:7" ht="19.5" customHeight="1" x14ac:dyDescent="0.25">
      <c r="B32" s="54" t="s">
        <v>500</v>
      </c>
      <c r="C32" s="125" t="s">
        <v>501</v>
      </c>
      <c r="D32" s="125"/>
      <c r="E32" s="125"/>
      <c r="F32" s="52"/>
      <c r="G32" s="52"/>
    </row>
    <row r="33" spans="2:7" ht="19.5" customHeight="1" x14ac:dyDescent="0.25">
      <c r="B33" s="51" t="s">
        <v>502</v>
      </c>
      <c r="C33" s="126" t="s">
        <v>503</v>
      </c>
      <c r="D33" s="126"/>
      <c r="E33" s="126"/>
      <c r="F33" s="52"/>
      <c r="G33" s="52"/>
    </row>
    <row r="34" spans="2:7" ht="19.5" customHeight="1" x14ac:dyDescent="0.25">
      <c r="B34" s="54" t="s">
        <v>504</v>
      </c>
      <c r="C34" s="125" t="s">
        <v>505</v>
      </c>
      <c r="D34" s="125"/>
      <c r="E34" s="125"/>
      <c r="F34" s="52"/>
      <c r="G34" s="52"/>
    </row>
    <row r="35" spans="2:7" ht="19.5" customHeight="1" x14ac:dyDescent="0.25">
      <c r="B35" s="51" t="s">
        <v>506</v>
      </c>
      <c r="C35" s="126" t="s">
        <v>507</v>
      </c>
      <c r="D35" s="126"/>
      <c r="E35" s="126"/>
      <c r="F35" s="52"/>
      <c r="G35" s="52"/>
    </row>
    <row r="36" spans="2:7" ht="19.5" customHeight="1" x14ac:dyDescent="0.25">
      <c r="B36" s="54" t="s">
        <v>508</v>
      </c>
      <c r="C36" s="125" t="s">
        <v>509</v>
      </c>
      <c r="D36" s="125"/>
      <c r="E36" s="125"/>
      <c r="F36" s="52"/>
      <c r="G36" s="52"/>
    </row>
  </sheetData>
  <mergeCells count="25">
    <mergeCell ref="C32:E32"/>
    <mergeCell ref="C33:E33"/>
    <mergeCell ref="C34:E34"/>
    <mergeCell ref="C35:E35"/>
    <mergeCell ref="C36:E36"/>
    <mergeCell ref="C27:E27"/>
    <mergeCell ref="C28:E28"/>
    <mergeCell ref="C29:E29"/>
    <mergeCell ref="C30:E30"/>
    <mergeCell ref="C31:E31"/>
    <mergeCell ref="D21:G21"/>
    <mergeCell ref="B23:G23"/>
    <mergeCell ref="C24:D24"/>
    <mergeCell ref="C25:E25"/>
    <mergeCell ref="C26:E26"/>
    <mergeCell ref="B15:G15"/>
    <mergeCell ref="D17:G17"/>
    <mergeCell ref="D18:G18"/>
    <mergeCell ref="D19:G19"/>
    <mergeCell ref="D20:G20"/>
    <mergeCell ref="B1:G1"/>
    <mergeCell ref="B2:G2"/>
    <mergeCell ref="B4:G4"/>
    <mergeCell ref="B13:D13"/>
    <mergeCell ref="F13:G1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26"/>
  <sheetViews>
    <sheetView showGridLines="0" zoomScaleNormal="100" workbookViewId="0"/>
  </sheetViews>
  <sheetFormatPr defaultColWidth="8.7109375" defaultRowHeight="15" x14ac:dyDescent="0.25"/>
  <cols>
    <col min="1" max="1" width="3" customWidth="1"/>
    <col min="2" max="2" width="5" customWidth="1"/>
    <col min="3" max="3" width="22" customWidth="1"/>
    <col min="4" max="5" width="20" customWidth="1"/>
    <col min="6" max="6" width="8" customWidth="1"/>
    <col min="7" max="7" width="22" customWidth="1"/>
    <col min="8" max="8" width="5" customWidth="1"/>
  </cols>
  <sheetData>
    <row r="1" spans="2:7" ht="31.5" customHeight="1" x14ac:dyDescent="0.25">
      <c r="B1" s="114" t="s">
        <v>510</v>
      </c>
      <c r="C1" s="114"/>
      <c r="D1" s="114"/>
      <c r="E1" s="114"/>
      <c r="F1" s="114"/>
      <c r="G1" s="114"/>
    </row>
    <row r="2" spans="2:7" ht="7.5" customHeight="1" x14ac:dyDescent="0.25"/>
    <row r="3" spans="2:7" ht="21.75" customHeight="1" x14ac:dyDescent="0.25">
      <c r="B3" s="20" t="s">
        <v>54</v>
      </c>
      <c r="C3" s="20" t="s">
        <v>315</v>
      </c>
      <c r="D3" s="20" t="s">
        <v>511</v>
      </c>
      <c r="E3" s="20" t="s">
        <v>512</v>
      </c>
      <c r="F3" s="20" t="s">
        <v>257</v>
      </c>
      <c r="G3" s="20" t="s">
        <v>513</v>
      </c>
    </row>
    <row r="4" spans="2:7" ht="42" customHeight="1" x14ac:dyDescent="0.25">
      <c r="B4" s="80">
        <v>1</v>
      </c>
      <c r="C4" s="81" t="s">
        <v>514</v>
      </c>
      <c r="D4" s="82" t="s">
        <v>515</v>
      </c>
      <c r="E4" s="23" t="s">
        <v>516</v>
      </c>
      <c r="F4" s="83" t="s">
        <v>261</v>
      </c>
      <c r="G4" s="2" t="s">
        <v>517</v>
      </c>
    </row>
    <row r="5" spans="2:7" ht="42" customHeight="1" x14ac:dyDescent="0.25">
      <c r="B5" s="84">
        <v>2</v>
      </c>
      <c r="C5" s="85" t="s">
        <v>518</v>
      </c>
      <c r="D5" s="86" t="s">
        <v>519</v>
      </c>
      <c r="E5" s="33" t="s">
        <v>520</v>
      </c>
      <c r="F5" s="87" t="s">
        <v>264</v>
      </c>
      <c r="G5" s="2" t="s">
        <v>521</v>
      </c>
    </row>
    <row r="6" spans="2:7" ht="42" customHeight="1" x14ac:dyDescent="0.25">
      <c r="B6" s="88">
        <v>3</v>
      </c>
      <c r="C6" s="89" t="s">
        <v>522</v>
      </c>
      <c r="D6" s="90" t="s">
        <v>523</v>
      </c>
      <c r="E6" s="73" t="s">
        <v>524</v>
      </c>
      <c r="F6" s="91" t="s">
        <v>267</v>
      </c>
      <c r="G6" s="2" t="s">
        <v>525</v>
      </c>
    </row>
    <row r="7" spans="2:7" ht="42" customHeight="1" x14ac:dyDescent="0.25">
      <c r="B7" s="56">
        <v>4</v>
      </c>
      <c r="C7" s="92" t="s">
        <v>526</v>
      </c>
      <c r="D7" s="93" t="s">
        <v>527</v>
      </c>
      <c r="E7" s="25" t="s">
        <v>528</v>
      </c>
      <c r="F7" s="94" t="s">
        <v>261</v>
      </c>
      <c r="G7" s="2" t="s">
        <v>529</v>
      </c>
    </row>
    <row r="8" spans="2:7" ht="42" customHeight="1" x14ac:dyDescent="0.25">
      <c r="B8" s="95">
        <v>5</v>
      </c>
      <c r="C8" s="96" t="s">
        <v>364</v>
      </c>
      <c r="D8" s="97" t="s">
        <v>530</v>
      </c>
      <c r="E8" s="31" t="s">
        <v>531</v>
      </c>
      <c r="F8" s="62" t="s">
        <v>261</v>
      </c>
      <c r="G8" s="2" t="s">
        <v>532</v>
      </c>
    </row>
    <row r="9" spans="2:7" ht="42" customHeight="1" x14ac:dyDescent="0.25">
      <c r="B9" s="98">
        <v>6</v>
      </c>
      <c r="C9" s="99" t="s">
        <v>360</v>
      </c>
      <c r="D9" s="100" t="s">
        <v>533</v>
      </c>
      <c r="E9" s="22" t="s">
        <v>534</v>
      </c>
      <c r="F9" s="101" t="s">
        <v>261</v>
      </c>
      <c r="G9" s="2" t="s">
        <v>535</v>
      </c>
    </row>
    <row r="10" spans="2:7" ht="42" customHeight="1" x14ac:dyDescent="0.25">
      <c r="B10" s="84">
        <v>7</v>
      </c>
      <c r="C10" s="85" t="s">
        <v>536</v>
      </c>
      <c r="D10" s="86" t="s">
        <v>537</v>
      </c>
      <c r="E10" s="33" t="s">
        <v>538</v>
      </c>
      <c r="F10" s="87" t="s">
        <v>276</v>
      </c>
      <c r="G10" s="2" t="s">
        <v>539</v>
      </c>
    </row>
    <row r="11" spans="2:7" ht="42" customHeight="1" x14ac:dyDescent="0.25">
      <c r="B11" s="80">
        <v>8</v>
      </c>
      <c r="C11" s="81" t="s">
        <v>540</v>
      </c>
      <c r="D11" s="82" t="s">
        <v>541</v>
      </c>
      <c r="E11" s="23" t="s">
        <v>542</v>
      </c>
      <c r="F11" s="83" t="s">
        <v>267</v>
      </c>
      <c r="G11" s="2" t="s">
        <v>543</v>
      </c>
    </row>
    <row r="12" spans="2:7" ht="9.75" customHeight="1" x14ac:dyDescent="0.25"/>
    <row r="13" spans="2:7" ht="15.75" customHeight="1" x14ac:dyDescent="0.25">
      <c r="B13" s="110" t="s">
        <v>544</v>
      </c>
      <c r="C13" s="110"/>
      <c r="D13" s="110"/>
      <c r="E13" s="110"/>
      <c r="F13" s="110"/>
      <c r="G13" s="110"/>
    </row>
    <row r="14" spans="2:7" ht="18" customHeight="1" x14ac:dyDescent="0.25">
      <c r="B14" s="4" t="s">
        <v>545</v>
      </c>
      <c r="C14" s="127" t="s">
        <v>546</v>
      </c>
      <c r="D14" s="127"/>
      <c r="E14" s="127"/>
      <c r="F14" s="127" t="s">
        <v>547</v>
      </c>
      <c r="G14" s="127"/>
    </row>
    <row r="15" spans="2:7" ht="30" customHeight="1" x14ac:dyDescent="0.25">
      <c r="B15" s="25" t="s">
        <v>548</v>
      </c>
      <c r="C15" s="126" t="s">
        <v>549</v>
      </c>
      <c r="D15" s="126"/>
      <c r="E15" s="126"/>
      <c r="F15" s="143" t="s">
        <v>550</v>
      </c>
      <c r="G15" s="143"/>
    </row>
    <row r="16" spans="2:7" ht="30" customHeight="1" x14ac:dyDescent="0.25">
      <c r="B16" s="25" t="s">
        <v>551</v>
      </c>
      <c r="C16" s="125" t="s">
        <v>552</v>
      </c>
      <c r="D16" s="125"/>
      <c r="E16" s="125"/>
      <c r="F16" s="143" t="s">
        <v>553</v>
      </c>
      <c r="G16" s="143"/>
    </row>
    <row r="17" spans="2:7" ht="30" customHeight="1" x14ac:dyDescent="0.25">
      <c r="B17" s="25" t="s">
        <v>554</v>
      </c>
      <c r="C17" s="126" t="s">
        <v>555</v>
      </c>
      <c r="D17" s="126"/>
      <c r="E17" s="126"/>
      <c r="F17" s="143" t="s">
        <v>556</v>
      </c>
      <c r="G17" s="143"/>
    </row>
    <row r="18" spans="2:7" ht="30" customHeight="1" x14ac:dyDescent="0.25">
      <c r="B18" s="25" t="s">
        <v>557</v>
      </c>
      <c r="C18" s="125" t="s">
        <v>558</v>
      </c>
      <c r="D18" s="125"/>
      <c r="E18" s="125"/>
      <c r="F18" s="143" t="s">
        <v>559</v>
      </c>
      <c r="G18" s="143"/>
    </row>
    <row r="19" spans="2:7" ht="9.75" customHeight="1" x14ac:dyDescent="0.25"/>
    <row r="20" spans="2:7" ht="15.75" customHeight="1" x14ac:dyDescent="0.25">
      <c r="B20" s="110" t="s">
        <v>560</v>
      </c>
      <c r="C20" s="110"/>
      <c r="D20" s="110"/>
      <c r="E20" s="110"/>
      <c r="F20" s="110"/>
      <c r="G20" s="110"/>
    </row>
    <row r="21" spans="2:7" ht="18" customHeight="1" x14ac:dyDescent="0.25">
      <c r="B21" s="20" t="s">
        <v>73</v>
      </c>
      <c r="C21" s="20" t="s">
        <v>74</v>
      </c>
      <c r="D21" s="142" t="s">
        <v>75</v>
      </c>
      <c r="E21" s="142"/>
      <c r="F21" s="142" t="s">
        <v>561</v>
      </c>
      <c r="G21" s="142"/>
    </row>
    <row r="22" spans="2:7" ht="24" customHeight="1" x14ac:dyDescent="0.25">
      <c r="B22" s="102">
        <v>5</v>
      </c>
      <c r="C22" s="75" t="s">
        <v>77</v>
      </c>
      <c r="D22" s="137" t="s">
        <v>78</v>
      </c>
      <c r="E22" s="137"/>
      <c r="F22" s="144" t="s">
        <v>79</v>
      </c>
      <c r="G22" s="144"/>
    </row>
    <row r="23" spans="2:7" ht="24" customHeight="1" x14ac:dyDescent="0.25">
      <c r="B23" s="103">
        <v>4</v>
      </c>
      <c r="C23" s="76" t="s">
        <v>80</v>
      </c>
      <c r="D23" s="138" t="s">
        <v>81</v>
      </c>
      <c r="E23" s="138"/>
      <c r="F23" s="144" t="s">
        <v>82</v>
      </c>
      <c r="G23" s="144"/>
    </row>
    <row r="24" spans="2:7" ht="24" customHeight="1" x14ac:dyDescent="0.25">
      <c r="B24" s="43">
        <v>3</v>
      </c>
      <c r="C24" s="77" t="s">
        <v>83</v>
      </c>
      <c r="D24" s="139" t="s">
        <v>84</v>
      </c>
      <c r="E24" s="139"/>
      <c r="F24" s="144" t="s">
        <v>85</v>
      </c>
      <c r="G24" s="144"/>
    </row>
    <row r="25" spans="2:7" ht="24" customHeight="1" x14ac:dyDescent="0.25">
      <c r="B25" s="104">
        <v>2</v>
      </c>
      <c r="C25" s="78" t="s">
        <v>86</v>
      </c>
      <c r="D25" s="140" t="s">
        <v>87</v>
      </c>
      <c r="E25" s="140"/>
      <c r="F25" s="144" t="s">
        <v>88</v>
      </c>
      <c r="G25" s="144"/>
    </row>
    <row r="26" spans="2:7" ht="24" customHeight="1" x14ac:dyDescent="0.25">
      <c r="B26" s="105">
        <v>1</v>
      </c>
      <c r="C26" s="79" t="s">
        <v>89</v>
      </c>
      <c r="D26" s="141" t="s">
        <v>90</v>
      </c>
      <c r="E26" s="141"/>
      <c r="F26" s="144" t="s">
        <v>91</v>
      </c>
      <c r="G26" s="144"/>
    </row>
  </sheetData>
  <mergeCells count="25">
    <mergeCell ref="D26:E26"/>
    <mergeCell ref="F26:G26"/>
    <mergeCell ref="D23:E23"/>
    <mergeCell ref="F23:G23"/>
    <mergeCell ref="D24:E24"/>
    <mergeCell ref="F24:G24"/>
    <mergeCell ref="D25:E25"/>
    <mergeCell ref="F25:G25"/>
    <mergeCell ref="B20:G20"/>
    <mergeCell ref="D21:E21"/>
    <mergeCell ref="F21:G21"/>
    <mergeCell ref="D22:E22"/>
    <mergeCell ref="F22:G22"/>
    <mergeCell ref="C16:E16"/>
    <mergeCell ref="F16:G16"/>
    <mergeCell ref="C17:E17"/>
    <mergeCell ref="F17:G17"/>
    <mergeCell ref="C18:E18"/>
    <mergeCell ref="F18:G18"/>
    <mergeCell ref="B1:G1"/>
    <mergeCell ref="B13:G13"/>
    <mergeCell ref="C14:E14"/>
    <mergeCell ref="F14:G14"/>
    <mergeCell ref="C15:E15"/>
    <mergeCell ref="F15:G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Session Setup</vt:lpstr>
      <vt:lpstr>📱 Structured — App 1</vt:lpstr>
      <vt:lpstr>📱 Structured — App 2</vt:lpstr>
      <vt:lpstr>App 1 (All 8)</vt:lpstr>
      <vt:lpstr>App 2 (All 8)</vt:lpstr>
      <vt:lpstr>📊 Comparative</vt:lpstr>
      <vt:lpstr>💡 Recommendations</vt:lpstr>
      <vt:lpstr>📄 Report Outline</vt:lpstr>
      <vt:lpstr>🏆 Grading Rubric</vt:lpstr>
      <vt:lpstr>📖 ISO 25010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MASTER</cp:lastModifiedBy>
  <cp:revision>0</cp:revision>
  <dcterms:created xsi:type="dcterms:W3CDTF">2026-04-14T07:57:04Z</dcterms:created>
  <dcterms:modified xsi:type="dcterms:W3CDTF">2026-04-22T12:31:40Z</dcterms:modified>
  <dc:language>en-US</dc:language>
</cp:coreProperties>
</file>